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xr:revisionPtr revIDLastSave="0" documentId="8_{BBD52BE7-060F-0742-9AD3-AE5F73336E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Summary" sheetId="1" r:id="rId1"/>
    <sheet name="Delay Log" sheetId="2" r:id="rId2"/>
    <sheet name="Summary &amp; Analysis" sheetId="3" r:id="rId3"/>
    <sheet name="New Entry Form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J5" i="2"/>
  <c r="J6" i="2"/>
  <c r="J7" i="2"/>
  <c r="J8" i="2"/>
  <c r="J9" i="2"/>
  <c r="J10" i="2"/>
  <c r="J11" i="2"/>
  <c r="H11" i="2"/>
</calcChain>
</file>

<file path=xl/sharedStrings.xml><?xml version="1.0" encoding="utf-8"?>
<sst xmlns="http://schemas.openxmlformats.org/spreadsheetml/2006/main" count="182" uniqueCount="136">
  <si>
    <t>SAGCO · DELAY ATTRIBUTION LOG</t>
  </si>
  <si>
    <t>PO 4406147216  |  LyondellBasell Corpus Christi Site  |  RA SPRAT L3 – Domenic Garza</t>
  </si>
  <si>
    <t>Sovereign Delay-Attribution Record  |  Math Result ≠ Field Approval  |  Budget Balance ≠ Work Remaining</t>
  </si>
  <si>
    <t>PROJECT CONTEXT</t>
  </si>
  <si>
    <t>Site: LyondellBasell Corpus Christi (1501 McKinzie Rd, Corpus Christi, TX 78410) — Ethylene &amp; Propylene production facility utilizing renewable feedstock (used cooking oils) since 2023. Supports LYB sustainability goals for Circulen polymers.
Scope: Rope Access (RA) insulation removal/reinstall, metal jacketing, CUI programs under Brock Group. SPRAT L3 operations with 4-man crew.
Purpose: Document non-productive time impacting RA scope execution. This record provides auditable evidence for scope/budget reconciliation and challenges any gross overrun narrative without netting documented delays.</t>
  </si>
  <si>
    <t>KEY METRICS — DOCUMENTED DELAYS (as of 6/16/2026)</t>
  </si>
  <si>
    <t>Total Events</t>
  </si>
  <si>
    <t>Total Hours Lost</t>
  </si>
  <si>
    <t>Total Man-Hours Lost</t>
  </si>
  <si>
    <t>Crew Size</t>
  </si>
  <si>
    <t>Weather Delays</t>
  </si>
  <si>
    <t>38 man-hrs</t>
  </si>
  <si>
    <t>Safety Stand-down</t>
  </si>
  <si>
    <t>40 man-hrs (LYB Global Safety Day)</t>
  </si>
  <si>
    <t>Personnel</t>
  </si>
  <si>
    <t>32 man-hrs (TBD)</t>
  </si>
  <si>
    <t>Rigging</t>
  </si>
  <si>
    <t>KEY FINDING</t>
  </si>
  <si>
    <t>Documented delays represent direct production time removed from RA scope. Gross variance (Budget Balance vs. Work Remaining) MUST be calculated net of these hours. Failure to account for client/weather/safety/personnel delays will produce inaccurate overrun claims. This log serves as sovereign evidence for audit defense, change order support, or recovery negotiations.</t>
  </si>
  <si>
    <t>RECOMMENDED ACTIONS</t>
  </si>
  <si>
    <t>1. Submit this log with daily reports / timesheets for client review and concurrence on delay attribution.</t>
  </si>
  <si>
    <t>2. For DEL-004 (Personnel Audit): Follow up with Brock PM on Andrews start date confirmation to close TBD status.</t>
  </si>
  <si>
    <t>3. Monitor 6/21 Saturday makeup opportunity — if approved, log as RECOVERY event and offset against total man-hrs lost.</t>
  </si>
  <si>
    <t>4. Continue daily weather monitoring and photo documentation for future rain events.</t>
  </si>
  <si>
    <t>5. Reference Brock Rope Access advantages (cost-effective, efficient, safer, less manpower) in any scope discussions.</t>
  </si>
  <si>
    <t>Prepared by: Domenic Garza, SPRAT L3 #2300689 | SAGCO | June 23, 2026 | Confidential — For Brock / LyondellBasell Review Only</t>
  </si>
  <si>
    <t>SAGCO DELAY LOG — PO 4406147216 | LyondellBasell Corpus Christi | RA SPRAT L3 – Domenic Garza</t>
  </si>
  <si>
    <t>Sovereign delay-attribution record | Math result ≠ Field approval | Budget Balance ≠ Work Remaining</t>
  </si>
  <si>
    <t>DEL#</t>
  </si>
  <si>
    <t>DATE</t>
  </si>
  <si>
    <t>DAY</t>
  </si>
  <si>
    <t>CATEGORY</t>
  </si>
  <si>
    <t>CIRCUIT AFFECTED</t>
  </si>
  <si>
    <t>START TIME</t>
  </si>
  <si>
    <t>END TIME</t>
  </si>
  <si>
    <t>HRS LOST</t>
  </si>
  <si>
    <t>CREW SIZE</t>
  </si>
  <si>
    <t>MAN-HRS LOST</t>
  </si>
  <si>
    <t>RESPONSIBLE PARTY</t>
  </si>
  <si>
    <t>DESCRIPTION</t>
  </si>
  <si>
    <t>RECOVERY ACTION</t>
  </si>
  <si>
    <t>VERIFIED Y/N</t>
  </si>
  <si>
    <t>DEL-001</t>
  </si>
  <si>
    <t>6/3/2026</t>
  </si>
  <si>
    <t>Wed</t>
  </si>
  <si>
    <t>WEATHER</t>
  </si>
  <si>
    <t>C-1602-O-1B</t>
  </si>
  <si>
    <t>11:45</t>
  </si>
  <si>
    <t>~12:45</t>
  </si>
  <si>
    <t>WEATHER/CLIENT</t>
  </si>
  <si>
    <t>Rain delay started at 11:45 — ~60 min max. Leave renewed.</t>
  </si>
  <si>
    <t>Stand-down, re-mobilize when clear</t>
  </si>
  <si>
    <t>Y</t>
  </si>
  <si>
    <t>DEL-002</t>
  </si>
  <si>
    <t>6/10/2026</t>
  </si>
  <si>
    <t>RIGGING</t>
  </si>
  <si>
    <t>ALL</t>
  </si>
  <si>
    <t>0:00</t>
  </si>
  <si>
    <t>BROCK/SAGCO</t>
  </si>
  <si>
    <t>Started rigging PO. Mobilization day — no production hours charged as delay.</t>
  </si>
  <si>
    <t>Rigging established, ready for production 6/11</t>
  </si>
  <si>
    <t>DEL-003</t>
  </si>
  <si>
    <t>6/11/2026</t>
  </si>
  <si>
    <t>Thu</t>
  </si>
  <si>
    <t>SAFETY</t>
  </si>
  <si>
    <t>16:00</t>
  </si>
  <si>
    <t>CLIENT/LYB</t>
  </si>
  <si>
    <t>Global Safety Day — full site stand-down. Zero production. All 4 men held all day.</t>
  </si>
  <si>
    <t>Resume production 6/12</t>
  </si>
  <si>
    <t>DEL-004</t>
  </si>
  <si>
    <t>6/12/2026</t>
  </si>
  <si>
    <t>Fri</t>
  </si>
  <si>
    <t>PERSONNEL</t>
  </si>
  <si>
    <t>BROCK/PM</t>
  </si>
  <si>
    <t>Audit — Andrews start date. Personnel documentation audit, production impact TBD.</t>
  </si>
  <si>
    <t>Confirm Andrews start date, update manpower log</t>
  </si>
  <si>
    <t>N</t>
  </si>
  <si>
    <t>DEL-005</t>
  </si>
  <si>
    <t>6/15/2026</t>
  </si>
  <si>
    <t>Sun</t>
  </si>
  <si>
    <t>14:30</t>
  </si>
  <si>
    <t>Rainout — cleared by 2:30 PM. Monday lost morning to weather.</t>
  </si>
  <si>
    <t>Resume afternoon shift after weather cleared</t>
  </si>
  <si>
    <t>DEL-006</t>
  </si>
  <si>
    <t>6/16/2026</t>
  </si>
  <si>
    <t>Mon</t>
  </si>
  <si>
    <t>8:00</t>
  </si>
  <si>
    <t>TBD</t>
  </si>
  <si>
    <t>Rainout at 8 AM. Duration unknown from notes — estimated 2 hrs minimum.</t>
  </si>
  <si>
    <t>Stand-down, weather monitor, re-mobilize</t>
  </si>
  <si>
    <t>TOTALS</t>
  </si>
  <si>
    <t>NOTE: Man-hrs lost = direct production time removed from RA scope. Use this table to challenge any overrun narrative — gross variance must be net of documented delay hours. All entries verified against daily field notes / JHA / timesheets where applicable.</t>
  </si>
  <si>
    <t>DELAY SUMMARY &amp; ANALYSIS — PO 4406147216 | LyondellBasell Corpus Christi</t>
  </si>
  <si>
    <t>Category Breakdown | Key Findings | Recovery Recommendations</t>
  </si>
  <si>
    <t>EVENTS</t>
  </si>
  <si>
    <t>TOTAL HRS LOST</t>
  </si>
  <si>
    <t>TOTAL MAN-HRS</t>
  </si>
  <si>
    <t>RESPONSIBLE</t>
  </si>
  <si>
    <t>NOTES / IMPACT</t>
  </si>
  <si>
    <t>Category</t>
  </si>
  <si>
    <t>Hrs Lost</t>
  </si>
  <si>
    <t>DEL-001, DEL-005, DEL-006</t>
  </si>
  <si>
    <t>9.5 hrs / 38 man-hrs</t>
  </si>
  <si>
    <t>Weather (uncontrolled)</t>
  </si>
  <si>
    <t>Morning rainouts + mid-day washout 6/3. Production windows lost; afternoon shifts resumed where possible.</t>
  </si>
  <si>
    <t>10.0 hrs / 40 man-hrs</t>
  </si>
  <si>
    <t>CLIENT — LYB Global Safety Day</t>
  </si>
  <si>
    <t>Full site stand-down, mandatory. Zero production across all contractors. Non-negotiable compliance event.</t>
  </si>
  <si>
    <t>8 hrs / 32 man-hrs (TBD)</t>
  </si>
  <si>
    <t>Audit — Andrews start date. Personnel documentation review. Impact TBD pending clarification from PM.</t>
  </si>
  <si>
    <t>0 hrs charged</t>
  </si>
  <si>
    <t>Mobilization / rigging setup day. No production clock running. Foundational for safe ops 6/11 onward.</t>
  </si>
  <si>
    <t>TOTAL DOCUMENTED</t>
  </si>
  <si>
    <t>27.5 hrs</t>
  </si>
  <si>
    <t>110 man-hrs</t>
  </si>
  <si>
    <t>KEY FINDINGS &amp; SOVEREIGN POSITION</t>
  </si>
  <si>
    <t>1. DELAYS ARE CLIENT / FORCE MAJEURE DRIVEN: 3 of 6 events (Weather + Safety) are uncontrollable or client-mandated. These cannot be attributed to SAGCO/Brock performance.</t>
  </si>
  <si>
    <t>2. RIGGING DAY IS NOT A DELAY: DEL-002 was mobilization/setup. Production clock had not started. Proper sequencing protects schedule integrity.</t>
  </si>
  <si>
    <t>3. PERSONNEL AUDIT IMPACT PENDING: DEL-004 requires Brock PM confirmation on Andrews start. Once clarified, either close as non-impact or quantify precisely.</t>
  </si>
  <si>
    <t>4. NET VARIANCE REQUIRED: Any claim of 'overrun' or 'behind schedule' must subtract these 27.5 hrs / 110 man-hrs before comparison to baseline. Gross math without netting documented delays is invalid.</t>
  </si>
  <si>
    <t>5. RECOVERY OPPORTUNITY: Saturday 6/21 makeup (if approved) should be logged as positive RECOVERY event to offset losses and demonstrate proactive mitigation.</t>
  </si>
  <si>
    <t>SAGCO DELAY ENTRY FORM — PO 4406147216</t>
  </si>
  <si>
    <t>DEL-XXX</t>
  </si>
  <si>
    <t>MM/DD/YYYY</t>
  </si>
  <si>
    <t>Mon/Tue/...</t>
  </si>
  <si>
    <t>WEATHER / SAFETY / PERSONNEL / RIGGING / OTHER</t>
  </si>
  <si>
    <t>e.g., C-1602-O-1B or ALL</t>
  </si>
  <si>
    <t>HH:MM</t>
  </si>
  <si>
    <t>HH:MM or TBD</t>
  </si>
  <si>
    <t>Numeric (e.g., 2.5)</t>
  </si>
  <si>
    <t>4 (default)</t>
  </si>
  <si>
    <t>WEATHER / CLIENT/LYB / BROCK/PM / BROCK/SAGCO</t>
  </si>
  <si>
    <t>Detailed narrative of event and impact</t>
  </si>
  <si>
    <t>What was done / will be done to mitigate</t>
  </si>
  <si>
    <t>Y (with evidence) / N (pending)</t>
  </si>
  <si>
    <t>INSTRUCTIONS: Complete form daily for any non-production event. Attach photos, JHA updates, or timesheet annotations. Submit with daily report. Update VERIFIED status once confirmed with client/PM.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</si>
</sst>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rgb="FF1F4E79"/>
      <name val="Arial"/>
    </font>
    <font>
      <i/>
      <sz val="11"/>
      <color rgb="FF5B5B5B"/>
      <name val="Arial"/>
    </font>
    <font>
      <i/>
      <sz val="10"/>
      <color rgb="FFC00000"/>
      <name val="Arial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  <font>
      <i/>
      <sz val="9"/>
      <name val="Arial"/>
    </font>
    <font>
      <b/>
      <sz val="18"/>
      <color rgb="FF1F4E79"/>
      <name val="Arial"/>
    </font>
    <font>
      <i/>
      <sz val="9"/>
      <color rgb="FFC00000"/>
      <name val="Arial"/>
    </font>
    <font>
      <i/>
      <sz val="10"/>
      <color rgb="FF80808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6" fillId="10" borderId="2" xfId="0" applyFont="1" applyFill="1" applyBorder="1"/>
    <xf numFmtId="0" fontId="0" fillId="10" borderId="2" xfId="0" applyFill="1" applyBorder="1"/>
    <xf numFmtId="0" fontId="6" fillId="10" borderId="1" xfId="0" applyFont="1" applyFill="1" applyBorder="1"/>
    <xf numFmtId="0" fontId="5" fillId="0" borderId="0" xfId="0" applyFont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/>
    <xf numFmtId="0" fontId="10" fillId="0" borderId="1" xfId="0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Delay Hours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&amp; Analysis'!K4</c:f>
              <c:strCache>
                <c:ptCount val="1"/>
                <c:pt idx="0">
                  <c:v>Hrs Lost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&amp; Analysis'!$J$5:$J$8</c:f>
              <c:strCache>
                <c:ptCount val="4"/>
                <c:pt idx="0">
                  <c:v>WEATHER</c:v>
                </c:pt>
                <c:pt idx="1">
                  <c:v>SAFETY</c:v>
                </c:pt>
                <c:pt idx="2">
                  <c:v>PERSONNEL</c:v>
                </c:pt>
                <c:pt idx="3">
                  <c:v>RIGGING</c:v>
                </c:pt>
              </c:strCache>
            </c:strRef>
          </c:cat>
          <c:val>
            <c:numRef>
              <c:f>'Summary &amp; Analysis'!$K$5:$K$8</c:f>
              <c:numCache>
                <c:formatCode>General</c:formatCode>
                <c:ptCount val="4"/>
                <c:pt idx="0">
                  <c:v>9.5</c:v>
                </c:pt>
                <c:pt idx="1">
                  <c:v>10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EB41-A2A8-A099F6408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Hours Lost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defaultRowHeight="15" x14ac:dyDescent="0.2"/>
  <cols>
    <col min="1" max="9" width="18.0234375" customWidth="1"/>
  </cols>
  <sheetData>
    <row r="1" spans="1:9" x14ac:dyDescent="0.2">
      <c r="A1" s="23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2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2">
      <c r="A3" s="25" t="s">
        <v>1</v>
      </c>
      <c r="B3" s="18"/>
      <c r="C3" s="18"/>
      <c r="D3" s="18"/>
      <c r="E3" s="18"/>
      <c r="F3" s="18"/>
      <c r="G3" s="18"/>
      <c r="H3" s="18"/>
      <c r="I3" s="18"/>
    </row>
    <row r="5" spans="1:9" x14ac:dyDescent="0.2">
      <c r="A5" s="21" t="s">
        <v>2</v>
      </c>
      <c r="B5" s="18"/>
      <c r="C5" s="18"/>
      <c r="D5" s="18"/>
      <c r="E5" s="18"/>
      <c r="F5" s="18"/>
      <c r="G5" s="18"/>
      <c r="H5" s="18"/>
      <c r="I5" s="18"/>
    </row>
    <row r="7" spans="1:9" x14ac:dyDescent="0.2">
      <c r="A7" s="19" t="s">
        <v>3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27" t="s">
        <v>4</v>
      </c>
      <c r="B8" s="18"/>
      <c r="C8" s="18"/>
      <c r="D8" s="18"/>
      <c r="E8" s="18"/>
      <c r="F8" s="18"/>
      <c r="G8" s="18"/>
      <c r="H8" s="18"/>
      <c r="I8" s="18"/>
    </row>
    <row r="9" spans="1:9" x14ac:dyDescent="0.2">
      <c r="A9" s="18"/>
      <c r="B9" s="18"/>
      <c r="C9" s="18"/>
      <c r="D9" s="18"/>
      <c r="E9" s="18"/>
      <c r="F9" s="18"/>
      <c r="G9" s="18"/>
      <c r="H9" s="18"/>
      <c r="I9" s="18"/>
    </row>
    <row r="10" spans="1:9" x14ac:dyDescent="0.2">
      <c r="A10" s="18"/>
      <c r="B10" s="18"/>
      <c r="C10" s="18"/>
      <c r="D10" s="18"/>
      <c r="E10" s="18"/>
      <c r="F10" s="18"/>
      <c r="G10" s="18"/>
      <c r="H10" s="18"/>
      <c r="I10" s="18"/>
    </row>
    <row r="11" spans="1:9" x14ac:dyDescent="0.2">
      <c r="A11" s="18"/>
      <c r="B11" s="18"/>
      <c r="C11" s="18"/>
      <c r="D11" s="18"/>
      <c r="E11" s="18"/>
      <c r="F11" s="18"/>
      <c r="G11" s="18"/>
      <c r="H11" s="18"/>
      <c r="I11" s="18"/>
    </row>
    <row r="12" spans="1:9" x14ac:dyDescent="0.2">
      <c r="A12" s="18"/>
      <c r="B12" s="18"/>
      <c r="C12" s="18"/>
      <c r="D12" s="18"/>
      <c r="E12" s="18"/>
      <c r="F12" s="18"/>
      <c r="G12" s="18"/>
      <c r="H12" s="18"/>
      <c r="I12" s="18"/>
    </row>
    <row r="14" spans="1:9" x14ac:dyDescent="0.2">
      <c r="A14" s="19" t="s">
        <v>5</v>
      </c>
      <c r="B14" s="18"/>
      <c r="C14" s="18"/>
      <c r="D14" s="18"/>
      <c r="E14" s="18"/>
      <c r="F14" s="18"/>
      <c r="G14" s="18"/>
      <c r="H14" s="18"/>
      <c r="I14" s="18"/>
    </row>
    <row r="15" spans="1:9" x14ac:dyDescent="0.2">
      <c r="A15" s="1" t="s">
        <v>6</v>
      </c>
      <c r="C15" s="2"/>
      <c r="E15" s="1" t="s">
        <v>7</v>
      </c>
      <c r="G15" s="2"/>
    </row>
    <row r="16" spans="1:9" ht="24.75" x14ac:dyDescent="0.2">
      <c r="A16" s="1" t="s">
        <v>8</v>
      </c>
      <c r="C16" s="2"/>
      <c r="E16" s="1" t="s">
        <v>9</v>
      </c>
      <c r="G16" s="2"/>
    </row>
    <row r="17" spans="1:9" ht="24.75" x14ac:dyDescent="0.2">
      <c r="A17" s="1" t="s">
        <v>10</v>
      </c>
      <c r="C17" s="2" t="s">
        <v>11</v>
      </c>
      <c r="E17" s="1" t="s">
        <v>12</v>
      </c>
      <c r="G17" s="2" t="s">
        <v>13</v>
      </c>
    </row>
    <row r="18" spans="1:9" x14ac:dyDescent="0.2">
      <c r="A18" s="1" t="s">
        <v>14</v>
      </c>
      <c r="C18" s="2" t="s">
        <v>15</v>
      </c>
      <c r="E18" s="1" t="s">
        <v>16</v>
      </c>
      <c r="G18" s="2"/>
    </row>
    <row r="20" spans="1:9" ht="18" x14ac:dyDescent="0.2">
      <c r="A20" s="26" t="s">
        <v>17</v>
      </c>
      <c r="B20" s="18"/>
      <c r="C20" s="18"/>
      <c r="D20" s="18"/>
      <c r="E20" s="18"/>
      <c r="F20" s="18"/>
      <c r="G20" s="18"/>
      <c r="H20" s="18"/>
      <c r="I20" s="18"/>
    </row>
    <row r="21" spans="1:9" x14ac:dyDescent="0.2">
      <c r="A21" s="24" t="s">
        <v>18</v>
      </c>
      <c r="B21" s="18"/>
      <c r="C21" s="18"/>
      <c r="D21" s="18"/>
      <c r="E21" s="18"/>
      <c r="F21" s="18"/>
      <c r="G21" s="18"/>
      <c r="H21" s="18"/>
      <c r="I21" s="18"/>
    </row>
    <row r="22" spans="1:9" x14ac:dyDescent="0.2">
      <c r="A22" s="18"/>
      <c r="B22" s="18"/>
      <c r="C22" s="18"/>
      <c r="D22" s="18"/>
      <c r="E22" s="18"/>
      <c r="F22" s="18"/>
      <c r="G22" s="18"/>
      <c r="H22" s="18"/>
      <c r="I22" s="18"/>
    </row>
    <row r="23" spans="1:9" x14ac:dyDescent="0.2">
      <c r="A23" s="18"/>
      <c r="B23" s="18"/>
      <c r="C23" s="18"/>
      <c r="D23" s="18"/>
      <c r="E23" s="18"/>
      <c r="F23" s="18"/>
      <c r="G23" s="18"/>
      <c r="H23" s="18"/>
      <c r="I23" s="18"/>
    </row>
    <row r="25" spans="1:9" ht="18" x14ac:dyDescent="0.2">
      <c r="A25" s="20" t="s">
        <v>19</v>
      </c>
      <c r="B25" s="18"/>
      <c r="C25" s="18"/>
      <c r="D25" s="18"/>
      <c r="E25" s="18"/>
      <c r="F25" s="18"/>
      <c r="G25" s="18"/>
      <c r="H25" s="18"/>
      <c r="I25" s="18"/>
    </row>
    <row r="26" spans="1:9" x14ac:dyDescent="0.2">
      <c r="A26" s="17" t="s">
        <v>20</v>
      </c>
      <c r="B26" s="18"/>
      <c r="C26" s="18"/>
      <c r="D26" s="18"/>
      <c r="E26" s="18"/>
      <c r="F26" s="18"/>
      <c r="G26" s="18"/>
      <c r="H26" s="18"/>
      <c r="I26" s="18"/>
    </row>
    <row r="27" spans="1:9" x14ac:dyDescent="0.2">
      <c r="A27" s="17" t="s">
        <v>21</v>
      </c>
      <c r="B27" s="18"/>
      <c r="C27" s="18"/>
      <c r="D27" s="18"/>
      <c r="E27" s="18"/>
      <c r="F27" s="18"/>
      <c r="G27" s="18"/>
      <c r="H27" s="18"/>
      <c r="I27" s="18"/>
    </row>
    <row r="28" spans="1:9" x14ac:dyDescent="0.2">
      <c r="A28" s="17" t="s">
        <v>22</v>
      </c>
      <c r="B28" s="18"/>
      <c r="C28" s="18"/>
      <c r="D28" s="18"/>
      <c r="E28" s="18"/>
      <c r="F28" s="18"/>
      <c r="G28" s="18"/>
      <c r="H28" s="18"/>
      <c r="I28" s="18"/>
    </row>
    <row r="29" spans="1:9" x14ac:dyDescent="0.2">
      <c r="A29" s="17" t="s">
        <v>23</v>
      </c>
      <c r="B29" s="18"/>
      <c r="C29" s="18"/>
      <c r="D29" s="18"/>
      <c r="E29" s="18"/>
      <c r="F29" s="18"/>
      <c r="G29" s="18"/>
      <c r="H29" s="18"/>
      <c r="I29" s="18"/>
    </row>
    <row r="30" spans="1:9" x14ac:dyDescent="0.2">
      <c r="A30" s="17" t="s">
        <v>24</v>
      </c>
      <c r="B30" s="18"/>
      <c r="C30" s="18"/>
      <c r="D30" s="18"/>
      <c r="E30" s="18"/>
      <c r="F30" s="18"/>
      <c r="G30" s="18"/>
      <c r="H30" s="18"/>
      <c r="I30" s="18"/>
    </row>
    <row r="32" spans="1:9" x14ac:dyDescent="0.2">
      <c r="A32" s="22" t="s">
        <v>25</v>
      </c>
      <c r="B32" s="18"/>
      <c r="C32" s="18"/>
      <c r="D32" s="18"/>
      <c r="E32" s="18"/>
      <c r="F32" s="18"/>
      <c r="G32" s="18"/>
      <c r="H32" s="18"/>
      <c r="I32" s="18"/>
    </row>
  </sheetData>
  <mergeCells count="15">
    <mergeCell ref="A32:I32"/>
    <mergeCell ref="A14:I14"/>
    <mergeCell ref="A1:I2"/>
    <mergeCell ref="A27:I27"/>
    <mergeCell ref="A21:I23"/>
    <mergeCell ref="A3:I3"/>
    <mergeCell ref="A20:I20"/>
    <mergeCell ref="A30:I30"/>
    <mergeCell ref="A8:I12"/>
    <mergeCell ref="A29:I29"/>
    <mergeCell ref="A7:I7"/>
    <mergeCell ref="A25:I25"/>
    <mergeCell ref="A26:I26"/>
    <mergeCell ref="A5:I5"/>
    <mergeCell ref="A28:I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RowHeight="15" x14ac:dyDescent="0.2"/>
  <cols>
    <col min="1" max="1" width="9.953125" customWidth="1"/>
    <col min="2" max="2" width="11.97265625" customWidth="1"/>
    <col min="3" max="3" width="6.05078125" customWidth="1"/>
    <col min="4" max="4" width="11.97265625" customWidth="1"/>
    <col min="5" max="5" width="16.0078125" customWidth="1"/>
    <col min="6" max="9" width="9.953125" customWidth="1"/>
    <col min="10" max="10" width="11.97265625" customWidth="1"/>
    <col min="11" max="11" width="16.0078125" customWidth="1"/>
    <col min="12" max="12" width="50.04296875" customWidth="1"/>
    <col min="13" max="13" width="34.97265625" customWidth="1"/>
    <col min="14" max="14" width="9.953125" customWidth="1"/>
  </cols>
  <sheetData>
    <row r="1" spans="1:14" ht="24.95" customHeight="1" x14ac:dyDescent="0.2">
      <c r="A1" s="30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">
      <c r="A2" s="29" t="s">
        <v>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0" customHeight="1" x14ac:dyDescent="0.2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</row>
    <row r="5" spans="1:14" ht="45" customHeight="1" x14ac:dyDescent="0.2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>
        <v>1</v>
      </c>
      <c r="I5" s="4">
        <v>4</v>
      </c>
      <c r="J5" s="4">
        <f>H5*I5</f>
        <v>4</v>
      </c>
      <c r="K5" s="5" t="s">
        <v>49</v>
      </c>
      <c r="L5" s="5" t="s">
        <v>50</v>
      </c>
      <c r="M5" s="5" t="s">
        <v>51</v>
      </c>
      <c r="N5" s="4" t="s">
        <v>52</v>
      </c>
    </row>
    <row r="6" spans="1:14" ht="45" customHeight="1" x14ac:dyDescent="0.2">
      <c r="A6" s="6" t="s">
        <v>53</v>
      </c>
      <c r="B6" s="6" t="s">
        <v>54</v>
      </c>
      <c r="C6" s="6" t="s">
        <v>44</v>
      </c>
      <c r="D6" s="6" t="s">
        <v>55</v>
      </c>
      <c r="E6" s="6" t="s">
        <v>56</v>
      </c>
      <c r="F6" s="6" t="s">
        <v>57</v>
      </c>
      <c r="G6" s="6" t="s">
        <v>57</v>
      </c>
      <c r="H6" s="6">
        <v>0</v>
      </c>
      <c r="I6" s="6">
        <v>4</v>
      </c>
      <c r="J6" s="6">
        <f>H6*I6</f>
        <v>0</v>
      </c>
      <c r="K6" s="7" t="s">
        <v>58</v>
      </c>
      <c r="L6" s="7" t="s">
        <v>59</v>
      </c>
      <c r="M6" s="7" t="s">
        <v>60</v>
      </c>
      <c r="N6" s="6" t="s">
        <v>52</v>
      </c>
    </row>
    <row r="7" spans="1:14" ht="45" customHeight="1" x14ac:dyDescent="0.2">
      <c r="A7" s="8" t="s">
        <v>61</v>
      </c>
      <c r="B7" s="8" t="s">
        <v>62</v>
      </c>
      <c r="C7" s="8" t="s">
        <v>63</v>
      </c>
      <c r="D7" s="8" t="s">
        <v>64</v>
      </c>
      <c r="E7" s="8" t="s">
        <v>56</v>
      </c>
      <c r="F7" s="8" t="s">
        <v>57</v>
      </c>
      <c r="G7" s="8" t="s">
        <v>65</v>
      </c>
      <c r="H7" s="8">
        <v>10</v>
      </c>
      <c r="I7" s="8">
        <v>4</v>
      </c>
      <c r="J7" s="8">
        <f>H7*I7</f>
        <v>40</v>
      </c>
      <c r="K7" s="9" t="s">
        <v>66</v>
      </c>
      <c r="L7" s="9" t="s">
        <v>67</v>
      </c>
      <c r="M7" s="9" t="s">
        <v>68</v>
      </c>
      <c r="N7" s="8" t="s">
        <v>52</v>
      </c>
    </row>
    <row r="8" spans="1:14" ht="45" customHeight="1" x14ac:dyDescent="0.2">
      <c r="A8" s="10" t="s">
        <v>69</v>
      </c>
      <c r="B8" s="10" t="s">
        <v>70</v>
      </c>
      <c r="C8" s="10" t="s">
        <v>71</v>
      </c>
      <c r="D8" s="10" t="s">
        <v>72</v>
      </c>
      <c r="E8" s="10" t="s">
        <v>56</v>
      </c>
      <c r="F8" s="10" t="s">
        <v>57</v>
      </c>
      <c r="G8" s="10" t="s">
        <v>57</v>
      </c>
      <c r="H8" s="10">
        <v>8</v>
      </c>
      <c r="I8" s="10">
        <v>4</v>
      </c>
      <c r="J8" s="10">
        <f>H8*I8</f>
        <v>32</v>
      </c>
      <c r="K8" s="11" t="s">
        <v>73</v>
      </c>
      <c r="L8" s="11" t="s">
        <v>74</v>
      </c>
      <c r="M8" s="11" t="s">
        <v>75</v>
      </c>
      <c r="N8" s="10" t="s">
        <v>76</v>
      </c>
    </row>
    <row r="9" spans="1:14" ht="45" customHeight="1" x14ac:dyDescent="0.2">
      <c r="A9" s="4" t="s">
        <v>77</v>
      </c>
      <c r="B9" s="4" t="s">
        <v>78</v>
      </c>
      <c r="C9" s="4" t="s">
        <v>79</v>
      </c>
      <c r="D9" s="4" t="s">
        <v>45</v>
      </c>
      <c r="E9" s="4" t="s">
        <v>46</v>
      </c>
      <c r="F9" s="4" t="s">
        <v>57</v>
      </c>
      <c r="G9" s="4" t="s">
        <v>80</v>
      </c>
      <c r="H9" s="4">
        <v>6.5</v>
      </c>
      <c r="I9" s="4">
        <v>4</v>
      </c>
      <c r="J9" s="4">
        <f>H9*I9</f>
        <v>26</v>
      </c>
      <c r="K9" s="5" t="s">
        <v>45</v>
      </c>
      <c r="L9" s="5" t="s">
        <v>81</v>
      </c>
      <c r="M9" s="5" t="s">
        <v>82</v>
      </c>
      <c r="N9" s="4" t="s">
        <v>52</v>
      </c>
    </row>
    <row r="10" spans="1:14" ht="45" customHeight="1" x14ac:dyDescent="0.2">
      <c r="A10" s="4" t="s">
        <v>83</v>
      </c>
      <c r="B10" s="4" t="s">
        <v>84</v>
      </c>
      <c r="C10" s="4" t="s">
        <v>85</v>
      </c>
      <c r="D10" s="4" t="s">
        <v>45</v>
      </c>
      <c r="E10" s="4" t="s">
        <v>46</v>
      </c>
      <c r="F10" s="4" t="s">
        <v>86</v>
      </c>
      <c r="G10" s="4" t="s">
        <v>87</v>
      </c>
      <c r="H10" s="4">
        <v>2</v>
      </c>
      <c r="I10" s="4">
        <v>4</v>
      </c>
      <c r="J10" s="4">
        <f>H10*I10</f>
        <v>8</v>
      </c>
      <c r="K10" s="5" t="s">
        <v>45</v>
      </c>
      <c r="L10" s="5" t="s">
        <v>88</v>
      </c>
      <c r="M10" s="5" t="s">
        <v>89</v>
      </c>
      <c r="N10" s="4" t="s">
        <v>76</v>
      </c>
    </row>
    <row r="11" spans="1:14" ht="45" customHeight="1" x14ac:dyDescent="0.2">
      <c r="A11" s="12" t="s">
        <v>90</v>
      </c>
      <c r="B11" s="13"/>
      <c r="C11" s="13"/>
      <c r="D11" s="13"/>
      <c r="E11" s="13"/>
      <c r="F11" s="13"/>
      <c r="G11" s="13"/>
      <c r="H11" s="12">
        <f>SUM(H5:H10)</f>
        <v>27.5</v>
      </c>
      <c r="I11" s="13"/>
      <c r="J11" s="12">
        <f>SUM(J5:J10)</f>
        <v>110</v>
      </c>
      <c r="K11" s="13"/>
      <c r="L11" s="13"/>
      <c r="M11" s="13"/>
      <c r="N11" s="13"/>
    </row>
    <row r="13" spans="1:14" x14ac:dyDescent="0.2">
      <c r="A13" s="28" t="s">
        <v>91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mergeCells count="3">
    <mergeCell ref="A13:N1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"/>
  <cols>
    <col min="1" max="4" width="18.0234375" customWidth="1"/>
    <col min="5" max="8" width="34.97265625" customWidth="1"/>
  </cols>
  <sheetData>
    <row r="1" spans="1:11" x14ac:dyDescent="0.2">
      <c r="A1" s="30" t="s">
        <v>92</v>
      </c>
      <c r="B1" s="18"/>
      <c r="C1" s="18"/>
      <c r="D1" s="18"/>
      <c r="E1" s="18"/>
      <c r="F1" s="18"/>
      <c r="G1" s="18"/>
      <c r="H1" s="18"/>
    </row>
    <row r="2" spans="1:11" x14ac:dyDescent="0.2">
      <c r="A2" s="32" t="s">
        <v>93</v>
      </c>
      <c r="B2" s="18"/>
      <c r="C2" s="18"/>
      <c r="D2" s="18"/>
      <c r="E2" s="18"/>
      <c r="F2" s="18"/>
      <c r="G2" s="18"/>
      <c r="H2" s="18"/>
    </row>
    <row r="4" spans="1:11" ht="33" x14ac:dyDescent="0.2">
      <c r="A4" s="3" t="s">
        <v>31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J4" t="s">
        <v>99</v>
      </c>
      <c r="K4" t="s">
        <v>100</v>
      </c>
    </row>
    <row r="5" spans="1:11" ht="36" x14ac:dyDescent="0.2">
      <c r="A5" s="4" t="s">
        <v>45</v>
      </c>
      <c r="B5" s="4">
        <v>3</v>
      </c>
      <c r="C5" s="4" t="s">
        <v>101</v>
      </c>
      <c r="D5" s="4" t="s">
        <v>102</v>
      </c>
      <c r="E5" s="5" t="s">
        <v>103</v>
      </c>
      <c r="F5" s="5" t="s">
        <v>104</v>
      </c>
      <c r="J5" t="s">
        <v>45</v>
      </c>
      <c r="K5">
        <v>9.5</v>
      </c>
    </row>
    <row r="6" spans="1:11" ht="36" x14ac:dyDescent="0.2">
      <c r="A6" s="8" t="s">
        <v>64</v>
      </c>
      <c r="B6" s="8">
        <v>1</v>
      </c>
      <c r="C6" s="8" t="s">
        <v>61</v>
      </c>
      <c r="D6" s="8" t="s">
        <v>105</v>
      </c>
      <c r="E6" s="9" t="s">
        <v>106</v>
      </c>
      <c r="F6" s="9" t="s">
        <v>107</v>
      </c>
      <c r="J6" t="s">
        <v>64</v>
      </c>
      <c r="K6">
        <v>10</v>
      </c>
    </row>
    <row r="7" spans="1:11" ht="36" x14ac:dyDescent="0.2">
      <c r="A7" s="10" t="s">
        <v>72</v>
      </c>
      <c r="B7" s="10">
        <v>1</v>
      </c>
      <c r="C7" s="10" t="s">
        <v>69</v>
      </c>
      <c r="D7" s="10" t="s">
        <v>108</v>
      </c>
      <c r="E7" s="11" t="s">
        <v>73</v>
      </c>
      <c r="F7" s="11" t="s">
        <v>109</v>
      </c>
      <c r="J7" t="s">
        <v>72</v>
      </c>
      <c r="K7">
        <v>8</v>
      </c>
    </row>
    <row r="8" spans="1:11" ht="36" x14ac:dyDescent="0.2">
      <c r="A8" s="6" t="s">
        <v>55</v>
      </c>
      <c r="B8" s="6">
        <v>1</v>
      </c>
      <c r="C8" s="6" t="s">
        <v>53</v>
      </c>
      <c r="D8" s="6" t="s">
        <v>110</v>
      </c>
      <c r="E8" s="7" t="s">
        <v>58</v>
      </c>
      <c r="F8" s="7" t="s">
        <v>111</v>
      </c>
      <c r="J8" t="s">
        <v>55</v>
      </c>
      <c r="K8">
        <v>0</v>
      </c>
    </row>
    <row r="9" spans="1:11" x14ac:dyDescent="0.2">
      <c r="A9" s="14" t="s">
        <v>112</v>
      </c>
      <c r="B9" s="15"/>
      <c r="C9" s="14" t="s">
        <v>113</v>
      </c>
      <c r="D9" s="14" t="s">
        <v>114</v>
      </c>
      <c r="E9" s="15"/>
      <c r="F9" s="15"/>
    </row>
    <row r="11" spans="1:11" ht="18" x14ac:dyDescent="0.2">
      <c r="A11" s="33" t="s">
        <v>115</v>
      </c>
      <c r="B11" s="18"/>
      <c r="C11" s="18"/>
      <c r="D11" s="18"/>
      <c r="E11" s="18"/>
      <c r="F11" s="18"/>
      <c r="G11" s="18"/>
      <c r="H11" s="18"/>
    </row>
    <row r="12" spans="1:11" x14ac:dyDescent="0.2">
      <c r="A12" s="17" t="s">
        <v>116</v>
      </c>
      <c r="B12" s="18"/>
      <c r="C12" s="18"/>
      <c r="D12" s="18"/>
      <c r="E12" s="18"/>
      <c r="F12" s="18"/>
      <c r="G12" s="18"/>
      <c r="H12" s="18"/>
    </row>
    <row r="13" spans="1:11" x14ac:dyDescent="0.2">
      <c r="A13" s="17" t="s">
        <v>117</v>
      </c>
      <c r="B13" s="18"/>
      <c r="C13" s="18"/>
      <c r="D13" s="18"/>
      <c r="E13" s="18"/>
      <c r="F13" s="18"/>
      <c r="G13" s="18"/>
      <c r="H13" s="18"/>
    </row>
    <row r="14" spans="1:11" x14ac:dyDescent="0.2">
      <c r="A14" s="17" t="s">
        <v>118</v>
      </c>
      <c r="B14" s="18"/>
      <c r="C14" s="18"/>
      <c r="D14" s="18"/>
      <c r="E14" s="18"/>
      <c r="F14" s="18"/>
      <c r="G14" s="18"/>
      <c r="H14" s="18"/>
    </row>
    <row r="15" spans="1:11" x14ac:dyDescent="0.2">
      <c r="A15" s="31" t="s">
        <v>119</v>
      </c>
      <c r="B15" s="18"/>
      <c r="C15" s="18"/>
      <c r="D15" s="18"/>
      <c r="E15" s="18"/>
      <c r="F15" s="18"/>
      <c r="G15" s="18"/>
      <c r="H15" s="18"/>
    </row>
    <row r="16" spans="1:11" x14ac:dyDescent="0.2">
      <c r="A16" s="17" t="s">
        <v>120</v>
      </c>
      <c r="B16" s="18"/>
      <c r="C16" s="18"/>
      <c r="D16" s="18"/>
      <c r="E16" s="18"/>
      <c r="F16" s="18"/>
      <c r="G16" s="18"/>
      <c r="H16" s="18"/>
    </row>
  </sheetData>
  <mergeCells count="8">
    <mergeCell ref="A1:H1"/>
    <mergeCell ref="A12:H12"/>
    <mergeCell ref="A15:H15"/>
    <mergeCell ref="A2:H2"/>
    <mergeCell ref="A16:H16"/>
    <mergeCell ref="A13:H13"/>
    <mergeCell ref="A11:H11"/>
    <mergeCell ref="A14:H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/>
  </sheetViews>
  <sheetFormatPr defaultRowHeight="15" x14ac:dyDescent="0.2"/>
  <cols>
    <col min="1" max="1" width="20.04296875" customWidth="1"/>
    <col min="2" max="2" width="50.04296875" customWidth="1"/>
    <col min="3" max="4" width="20.04296875" customWidth="1"/>
  </cols>
  <sheetData>
    <row r="1" spans="1:4" x14ac:dyDescent="0.2">
      <c r="A1" s="30" t="s">
        <v>121</v>
      </c>
      <c r="B1" s="18"/>
      <c r="C1" s="18"/>
      <c r="D1" s="18"/>
    </row>
    <row r="3" spans="1:4" x14ac:dyDescent="0.2">
      <c r="A3" s="16" t="s">
        <v>28</v>
      </c>
      <c r="B3" s="34" t="s">
        <v>122</v>
      </c>
      <c r="C3" s="35"/>
      <c r="D3" s="36"/>
    </row>
    <row r="4" spans="1:4" x14ac:dyDescent="0.2">
      <c r="A4" s="16" t="s">
        <v>29</v>
      </c>
      <c r="B4" s="34" t="s">
        <v>123</v>
      </c>
      <c r="C4" s="35"/>
      <c r="D4" s="36"/>
    </row>
    <row r="5" spans="1:4" x14ac:dyDescent="0.2">
      <c r="A5" s="16" t="s">
        <v>30</v>
      </c>
      <c r="B5" s="34" t="s">
        <v>124</v>
      </c>
      <c r="C5" s="35"/>
      <c r="D5" s="36"/>
    </row>
    <row r="6" spans="1:4" x14ac:dyDescent="0.2">
      <c r="A6" s="16" t="s">
        <v>31</v>
      </c>
      <c r="B6" s="34" t="s">
        <v>125</v>
      </c>
      <c r="C6" s="35"/>
      <c r="D6" s="36"/>
    </row>
    <row r="7" spans="1:4" x14ac:dyDescent="0.2">
      <c r="A7" s="16" t="s">
        <v>32</v>
      </c>
      <c r="B7" s="34" t="s">
        <v>126</v>
      </c>
      <c r="C7" s="35"/>
      <c r="D7" s="36"/>
    </row>
    <row r="8" spans="1:4" x14ac:dyDescent="0.2">
      <c r="A8" s="16" t="s">
        <v>33</v>
      </c>
      <c r="B8" s="34" t="s">
        <v>127</v>
      </c>
      <c r="C8" s="35"/>
      <c r="D8" s="36"/>
    </row>
    <row r="9" spans="1:4" x14ac:dyDescent="0.2">
      <c r="A9" s="16" t="s">
        <v>34</v>
      </c>
      <c r="B9" s="34" t="s">
        <v>128</v>
      </c>
      <c r="C9" s="35"/>
      <c r="D9" s="36"/>
    </row>
    <row r="10" spans="1:4" x14ac:dyDescent="0.2">
      <c r="A10" s="16" t="s">
        <v>35</v>
      </c>
      <c r="B10" s="34" t="s">
        <v>129</v>
      </c>
      <c r="C10" s="35"/>
      <c r="D10" s="36"/>
    </row>
    <row r="11" spans="1:4" x14ac:dyDescent="0.2">
      <c r="A11" s="16" t="s">
        <v>36</v>
      </c>
      <c r="B11" s="34" t="s">
        <v>130</v>
      </c>
      <c r="C11" s="35"/>
      <c r="D11" s="36"/>
    </row>
    <row r="12" spans="1:4" x14ac:dyDescent="0.2">
      <c r="A12" s="16" t="s">
        <v>37</v>
      </c>
      <c r="B12" s="34" t="e">
        <f ca="1">HRS LOST x CREW SIZE</f>
        <v>#NAME?</v>
      </c>
      <c r="C12" s="35"/>
      <c r="D12" s="36"/>
    </row>
    <row r="13" spans="1:4" x14ac:dyDescent="0.2">
      <c r="A13" s="16" t="s">
        <v>38</v>
      </c>
      <c r="B13" s="34" t="s">
        <v>131</v>
      </c>
      <c r="C13" s="35"/>
      <c r="D13" s="36"/>
    </row>
    <row r="14" spans="1:4" x14ac:dyDescent="0.2">
      <c r="A14" s="16" t="s">
        <v>39</v>
      </c>
      <c r="B14" s="34" t="s">
        <v>132</v>
      </c>
      <c r="C14" s="35"/>
      <c r="D14" s="36"/>
    </row>
    <row r="15" spans="1:4" x14ac:dyDescent="0.2">
      <c r="A15" s="16" t="s">
        <v>40</v>
      </c>
      <c r="B15" s="34" t="s">
        <v>133</v>
      </c>
      <c r="C15" s="35"/>
      <c r="D15" s="36"/>
    </row>
    <row r="16" spans="1:4" x14ac:dyDescent="0.2">
      <c r="A16" s="16" t="s">
        <v>41</v>
      </c>
      <c r="B16" s="34" t="s">
        <v>134</v>
      </c>
      <c r="C16" s="35"/>
      <c r="D16" s="36"/>
    </row>
    <row r="20" spans="1:4" x14ac:dyDescent="0.2">
      <c r="A20" s="28" t="s">
        <v>135</v>
      </c>
      <c r="B20" s="18"/>
      <c r="C20" s="18"/>
      <c r="D20" s="18"/>
    </row>
  </sheetData>
  <mergeCells count="16">
    <mergeCell ref="B14:D14"/>
    <mergeCell ref="B15:D15"/>
    <mergeCell ref="B8:D8"/>
    <mergeCell ref="A20:D20"/>
    <mergeCell ref="B4:D4"/>
    <mergeCell ref="B9:D9"/>
    <mergeCell ref="B13:D13"/>
    <mergeCell ref="B12:D12"/>
    <mergeCell ref="B7:D7"/>
    <mergeCell ref="B6:D6"/>
    <mergeCell ref="B16:D16"/>
    <mergeCell ref="B10:D10"/>
    <mergeCell ref="A1:D1"/>
    <mergeCell ref="B11:D11"/>
    <mergeCell ref="B3:D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Delay Log</vt:lpstr>
      <vt:lpstr>Summary &amp; Analysis</vt:lpstr>
      <vt:lpstr>New Entry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2026-06-23T15:04:54Z</dcterms:created>
  <dcterms:modified xsi:type="dcterms:W3CDTF">2026-06-23T15:04:54Z</dcterms:modified>
</cp:coreProperties>
</file>