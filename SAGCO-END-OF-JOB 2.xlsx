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D OF JOB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<sst xmlns="http://schemas.openxmlformats.org/spreadsheetml/2006/main" count="97" uniqueCount="77">
  <si>
    <t xml:space="preserve">PO# 4406147216 | ROPE ACCESS PACKAGE 1-5 | END OF JOB REPORT | E vs A vs V</t>
  </si>
  <si>
    <t xml:space="preserve">EST $483,228  |  ACT $333,532  |  VARIANCE +$149,696  |  EST HRS 6,000  |  ACT HRS 3,631  |  BLEND RATE $77  |  EST LNFT 1,366  |  COMPLETE LNFT 232 (17%)  |  COMPLETE SQFT 1,774.2 (36%)</t>
  </si>
  <si>
    <t xml:space="preserve">CUI #</t>
  </si>
  <si>
    <t xml:space="preserve">CIRCUIT</t>
  </si>
  <si>
    <t xml:space="preserve">EQUIPMENT</t>
  </si>
  <si>
    <t xml:space="preserve">E HRS
(EST)</t>
  </si>
  <si>
    <t xml:space="preserve">A HRS
(ACT)</t>
  </si>
  <si>
    <t xml:space="preserve">V HRS
(E-A)</t>
  </si>
  <si>
    <t xml:space="preserve">V %</t>
  </si>
  <si>
    <t xml:space="preserve">E $
(EST×$77)</t>
  </si>
  <si>
    <t xml:space="preserve">A $
(ACT×$77)</t>
  </si>
  <si>
    <t xml:space="preserve">V $
(E$-A$)</t>
  </si>
  <si>
    <t xml:space="preserve">STATUS</t>
  </si>
  <si>
    <t xml:space="preserve">VERDICT</t>
  </si>
  <si>
    <t xml:space="preserve">NOTES</t>
  </si>
  <si>
    <t xml:space="preserve">F-1763-PR-1A</t>
  </si>
  <si>
    <t xml:space="preserve">COLD FRAC</t>
  </si>
  <si>
    <t xml:space="preserve">✅ COMPLETE</t>
  </si>
  <si>
    <t xml:space="preserve">🔴 OVER</t>
  </si>
  <si>
    <t xml:space="preserve">649.2 SQFT complete — LNFT rate 8.6× est</t>
  </si>
  <si>
    <t xml:space="preserve">C-1602-O-1B</t>
  </si>
  <si>
    <t xml:space="preserve">FURNACE A-N</t>
  </si>
  <si>
    <t xml:space="preserve">🔶 WATCH</t>
  </si>
  <si>
    <t xml:space="preserve">Largest circuit — 701 LNFT remaining</t>
  </si>
  <si>
    <t xml:space="preserve">IS-HDRFE-1A</t>
  </si>
  <si>
    <t xml:space="preserve">FURNACE/EXCHANGER</t>
  </si>
  <si>
    <t xml:space="preserve">1125 SQFT complete — furnace insulation done</t>
  </si>
  <si>
    <t xml:space="preserve">E-1706-NA-1A</t>
  </si>
  <si>
    <t xml:space="preserve">COMPRESSOR DECK</t>
  </si>
  <si>
    <t xml:space="preserve">46 LNFT compressor deck — 7.1× harder than C-1602</t>
  </si>
  <si>
    <t xml:space="preserve">PO-HDRFE-1B</t>
  </si>
  <si>
    <t xml:space="preserve">FURN/EXCH PRIMARY FRAC</t>
  </si>
  <si>
    <t xml:space="preserve">🟢 UNDER</t>
  </si>
  <si>
    <t xml:space="preserve">✅ SAVED</t>
  </si>
  <si>
    <t xml:space="preserve">117 LNFT primary frac — under budget</t>
  </si>
  <si>
    <t xml:space="preserve">HBF-HDRULT-1C</t>
  </si>
  <si>
    <t xml:space="preserve">BOILER FEED WATER</t>
  </si>
  <si>
    <t xml:space="preserve">1021 E hrs — only 208 used — 812 BANKED</t>
  </si>
  <si>
    <t xml:space="preserve">HBF-HDRULT-1D</t>
  </si>
  <si>
    <t xml:space="preserve">—</t>
  </si>
  <si>
    <t xml:space="preserve">⚪ INACTIVE</t>
  </si>
  <si>
    <t xml:space="preserve">⚪ N/A</t>
  </si>
  <si>
    <t xml:space="preserve">Zero scope — inactive</t>
  </si>
  <si>
    <t xml:space="preserve">J-2011-FO-1B</t>
  </si>
  <si>
    <t xml:space="preserve">2"-FO-162520</t>
  </si>
  <si>
    <t xml:space="preserve">951 E hrs — only 164 used — 786 BANKED</t>
  </si>
  <si>
    <t xml:space="preserve">HBF-HDRULT-1B</t>
  </si>
  <si>
    <t xml:space="preserve">GMU-ALLEY WAY</t>
  </si>
  <si>
    <t xml:space="preserve">GMU alley — tight geometry</t>
  </si>
  <si>
    <t xml:space="preserve">F-1728</t>
  </si>
  <si>
    <t xml:space="preserve">Cold frac — small scope</t>
  </si>
  <si>
    <t xml:space="preserve">F-1723A</t>
  </si>
  <si>
    <t xml:space="preserve">GHU</t>
  </si>
  <si>
    <t xml:space="preserve">GHU — SQFT only, no LNFT</t>
  </si>
  <si>
    <t xml:space="preserve">F-1723B</t>
  </si>
  <si>
    <t xml:space="preserve">PACKAGE TOTAL</t>
  </si>
  <si>
    <t xml:space="preserve">KEY INSIGHT: CUI#6 (812.7 banked) + CUI#8 (786.4 banked) = 1,599.1 hrs = $123,130 ABSORBS the 784.1 hr overrun from CUI#1+2+3+4 ($60,376). Package is NET POSITIVE by $62,755 at the PO level. The overrun narrative is a BLENDED VIEW problem — not a performance problem.</t>
  </si>
  <si>
    <t xml:space="preserve">ESTIMATED TOTAL $</t>
  </si>
  <si>
    <t xml:space="preserve">from Brock estimate sheet</t>
  </si>
  <si>
    <t xml:space="preserve">ACTUAL TOTAL $</t>
  </si>
  <si>
    <t xml:space="preserve">from Brock actual sheet</t>
  </si>
  <si>
    <t xml:space="preserve">VARIANCE $</t>
  </si>
  <si>
    <t xml:space="preserve">17% of 1,366 LNFT complete</t>
  </si>
  <si>
    <t xml:space="preserve">EST HOURS</t>
  </si>
  <si>
    <t xml:space="preserve">Brock estimate</t>
  </si>
  <si>
    <t xml:space="preserve">ACT HOURS</t>
  </si>
  <si>
    <t xml:space="preserve">Brock actual</t>
  </si>
  <si>
    <t xml:space="preserve">HOUR VARIANCE</t>
  </si>
  <si>
    <t xml:space="preserve">hours saved</t>
  </si>
  <si>
    <t xml:space="preserve">BLEND RATE</t>
  </si>
  <si>
    <t xml:space="preserve">$/hr</t>
  </si>
  <si>
    <t xml:space="preserve">LNFT COMPLETE %</t>
  </si>
  <si>
    <t xml:space="preserve">17%</t>
  </si>
  <si>
    <t xml:space="preserve">232 of 1,366 LNFT</t>
  </si>
  <si>
    <t xml:space="preserve">SQFT COMPLETE %</t>
  </si>
  <si>
    <t xml:space="preserve">36%</t>
  </si>
  <si>
    <t xml:space="preserve">1,774 of 4,882 SQFT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</si>
</sst>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E5FF"/>
      <name val="Arial"/>
      <family val="0"/>
      <charset val="1"/>
    </font>
    <font>
      <i val="true"/>
      <sz val="9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sz val="10"/>
      <color rgb="FFFF4444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sz val="10"/>
      <color rgb="FFFFD7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0A3622"/>
        <bgColor rgb="FF16213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800000"/>
      <rgbColor rgb="FF008000"/>
      <rgbColor rgb="FF16213E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4444"/>
      <rgbColor rgb="FF555555"/>
      <rgbColor rgb="FFAAAAAA"/>
      <rgbColor rgb="FF0F3460"/>
      <rgbColor rgb="FF339966"/>
      <rgbColor rgb="FF0A3622"/>
      <rgbColor rgb="FF1A1A2E"/>
      <rgbColor rgb="FF993300"/>
      <rgbColor rgb="FF993366"/>
      <rgbColor rgb="FF333399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6" min="4" style="1" width="10"/>
    <col collapsed="false" customWidth="true" hidden="false" outlineLevel="0" max="7" min="7" style="1" width="9"/>
    <col collapsed="false" customWidth="true" hidden="false" outlineLevel="0" max="11" min="8" style="1" width="14"/>
    <col collapsed="false" customWidth="true" hidden="false" outlineLevel="0" max="12" min="12" style="1" width="12"/>
    <col collapsed="false" customWidth="true" hidden="false" outlineLevel="0" max="13" min="13" style="1" width="3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3.75" hidden="false" customHeight="true" outlineLevel="0" collapsed="false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7" t="s">
        <v>13</v>
      </c>
      <c r="M3" s="4" t="s">
        <v>14</v>
      </c>
    </row>
    <row r="4" customFormat="false" ht="19.5" hidden="false" customHeight="true" outlineLevel="0" collapsed="false">
      <c r="A4" s="8" t="n">
        <v>1</v>
      </c>
      <c r="B4" s="9" t="s">
        <v>15</v>
      </c>
      <c r="C4" s="10" t="s">
        <v>16</v>
      </c>
      <c r="D4" s="11" t="n">
        <v>290</v>
      </c>
      <c r="E4" s="12" t="n">
        <v>427.5</v>
      </c>
      <c r="F4" s="13" t="n">
        <f aca="false">D4-E4</f>
        <v>-137.5</v>
      </c>
      <c r="G4" s="13" t="n">
        <f aca="false">IFERROR((D4-E4)/D4*100,0)</f>
        <v>-47.4137931034483</v>
      </c>
      <c r="H4" s="11" t="n">
        <f aca="false">D4*77</f>
        <v>22330</v>
      </c>
      <c r="I4" s="13" t="n">
        <f aca="false">E4*77</f>
        <v>32917.5</v>
      </c>
      <c r="J4" s="13" t="n">
        <f aca="false">H4-I4</f>
        <v>-10587.5</v>
      </c>
      <c r="K4" s="14" t="s">
        <v>17</v>
      </c>
      <c r="L4" s="12" t="s">
        <v>18</v>
      </c>
      <c r="M4" s="15" t="s">
        <v>19</v>
      </c>
    </row>
    <row r="5" customFormat="false" ht="19.5" hidden="false" customHeight="true" outlineLevel="0" collapsed="false">
      <c r="A5" s="16" t="n">
        <v>2</v>
      </c>
      <c r="B5" s="17" t="s">
        <v>20</v>
      </c>
      <c r="C5" s="10" t="s">
        <v>21</v>
      </c>
      <c r="D5" s="11" t="n">
        <v>1080</v>
      </c>
      <c r="E5" s="12" t="n">
        <v>1118.4</v>
      </c>
      <c r="F5" s="13" t="n">
        <f aca="false">D5-E5</f>
        <v>-38.4000000000001</v>
      </c>
      <c r="G5" s="13" t="n">
        <f aca="false">IFERROR((D5-E5)/D5*100,0)</f>
        <v>-3.55555555555556</v>
      </c>
      <c r="H5" s="11" t="n">
        <f aca="false">D5*77</f>
        <v>83160</v>
      </c>
      <c r="I5" s="13" t="n">
        <f aca="false">E5*77</f>
        <v>86116.8</v>
      </c>
      <c r="J5" s="13" t="n">
        <f aca="false">H5-I5</f>
        <v>-2956.8</v>
      </c>
      <c r="K5" s="12" t="s">
        <v>18</v>
      </c>
      <c r="L5" s="8" t="s">
        <v>22</v>
      </c>
      <c r="M5" s="15" t="s">
        <v>23</v>
      </c>
    </row>
    <row r="6" customFormat="false" ht="19.5" hidden="false" customHeight="true" outlineLevel="0" collapsed="false">
      <c r="A6" s="8" t="n">
        <v>3</v>
      </c>
      <c r="B6" s="9" t="s">
        <v>24</v>
      </c>
      <c r="C6" s="10" t="s">
        <v>25</v>
      </c>
      <c r="D6" s="11" t="n">
        <v>491</v>
      </c>
      <c r="E6" s="12" t="n">
        <v>1020.3</v>
      </c>
      <c r="F6" s="13" t="n">
        <f aca="false">D6-E6</f>
        <v>-529.3</v>
      </c>
      <c r="G6" s="13" t="n">
        <f aca="false">IFERROR((D6-E6)/D6*100,0)</f>
        <v>-107.800407331976</v>
      </c>
      <c r="H6" s="11" t="n">
        <f aca="false">D6*77</f>
        <v>37807</v>
      </c>
      <c r="I6" s="13" t="n">
        <f aca="false">E6*77</f>
        <v>78563.1</v>
      </c>
      <c r="J6" s="13" t="n">
        <f aca="false">H6-I6</f>
        <v>-40756.1</v>
      </c>
      <c r="K6" s="14" t="s">
        <v>17</v>
      </c>
      <c r="L6" s="12" t="s">
        <v>18</v>
      </c>
      <c r="M6" s="15" t="s">
        <v>26</v>
      </c>
    </row>
    <row r="7" customFormat="false" ht="19.5" hidden="false" customHeight="true" outlineLevel="0" collapsed="false">
      <c r="A7" s="16" t="n">
        <v>4</v>
      </c>
      <c r="B7" s="17" t="s">
        <v>27</v>
      </c>
      <c r="C7" s="10" t="s">
        <v>28</v>
      </c>
      <c r="D7" s="11" t="n">
        <v>138</v>
      </c>
      <c r="E7" s="12" t="n">
        <v>216.9</v>
      </c>
      <c r="F7" s="13" t="n">
        <f aca="false">D7-E7</f>
        <v>-78.9</v>
      </c>
      <c r="G7" s="13" t="n">
        <f aca="false">IFERROR((D7-E7)/D7*100,0)</f>
        <v>-57.1739130434783</v>
      </c>
      <c r="H7" s="11" t="n">
        <f aca="false">D7*77</f>
        <v>10626</v>
      </c>
      <c r="I7" s="13" t="n">
        <f aca="false">E7*77</f>
        <v>16701.3</v>
      </c>
      <c r="J7" s="13" t="n">
        <f aca="false">H7-I7</f>
        <v>-6075.3</v>
      </c>
      <c r="K7" s="12" t="s">
        <v>18</v>
      </c>
      <c r="L7" s="12" t="s">
        <v>18</v>
      </c>
      <c r="M7" s="15" t="s">
        <v>29</v>
      </c>
    </row>
    <row r="8" customFormat="false" ht="19.5" hidden="false" customHeight="true" outlineLevel="0" collapsed="false">
      <c r="A8" s="16" t="n">
        <v>5</v>
      </c>
      <c r="B8" s="17" t="s">
        <v>30</v>
      </c>
      <c r="C8" s="10" t="s">
        <v>31</v>
      </c>
      <c r="D8" s="11" t="n">
        <v>204</v>
      </c>
      <c r="E8" s="14" t="n">
        <v>173.3</v>
      </c>
      <c r="F8" s="18" t="n">
        <f aca="false">D8-E8</f>
        <v>30.7</v>
      </c>
      <c r="G8" s="18" t="n">
        <f aca="false">IFERROR((D8-E8)/D8*100,0)</f>
        <v>15.0490196078431</v>
      </c>
      <c r="H8" s="11" t="n">
        <f aca="false">D8*77</f>
        <v>15708</v>
      </c>
      <c r="I8" s="18" t="n">
        <f aca="false">E8*77</f>
        <v>13344.1</v>
      </c>
      <c r="J8" s="18" t="n">
        <f aca="false">H8-I8</f>
        <v>2363.9</v>
      </c>
      <c r="K8" s="14" t="s">
        <v>32</v>
      </c>
      <c r="L8" s="14" t="s">
        <v>33</v>
      </c>
      <c r="M8" s="15" t="s">
        <v>34</v>
      </c>
    </row>
    <row r="9" customFormat="false" ht="19.5" hidden="false" customHeight="true" outlineLevel="0" collapsed="false">
      <c r="A9" s="16" t="n">
        <v>6</v>
      </c>
      <c r="B9" s="17" t="s">
        <v>35</v>
      </c>
      <c r="C9" s="10" t="s">
        <v>36</v>
      </c>
      <c r="D9" s="11" t="n">
        <v>1021</v>
      </c>
      <c r="E9" s="14" t="n">
        <v>208.3</v>
      </c>
      <c r="F9" s="18" t="n">
        <f aca="false">D9-E9</f>
        <v>812.7</v>
      </c>
      <c r="G9" s="18" t="n">
        <f aca="false">IFERROR((D9-E9)/D9*100,0)</f>
        <v>79.5984329089128</v>
      </c>
      <c r="H9" s="11" t="n">
        <f aca="false">D9*77</f>
        <v>78617</v>
      </c>
      <c r="I9" s="18" t="n">
        <f aca="false">E9*77</f>
        <v>16039.1</v>
      </c>
      <c r="J9" s="18" t="n">
        <f aca="false">H9-I9</f>
        <v>62577.9</v>
      </c>
      <c r="K9" s="14" t="s">
        <v>32</v>
      </c>
      <c r="L9" s="14" t="s">
        <v>33</v>
      </c>
      <c r="M9" s="15" t="s">
        <v>37</v>
      </c>
    </row>
    <row r="10" customFormat="false" ht="19.5" hidden="false" customHeight="true" outlineLevel="0" collapsed="false">
      <c r="A10" s="19" t="n">
        <v>7</v>
      </c>
      <c r="B10" s="20" t="s">
        <v>38</v>
      </c>
      <c r="C10" s="10" t="s">
        <v>39</v>
      </c>
      <c r="D10" s="11" t="n">
        <v>0</v>
      </c>
      <c r="E10" s="14" t="n">
        <v>0</v>
      </c>
      <c r="F10" s="18" t="n">
        <f aca="false">D10-E10</f>
        <v>0</v>
      </c>
      <c r="G10" s="18" t="n">
        <f aca="false">IFERROR((D10-E10)/D10*100,0)</f>
        <v>0</v>
      </c>
      <c r="H10" s="11" t="n">
        <f aca="false">D10*77</f>
        <v>0</v>
      </c>
      <c r="I10" s="18" t="n">
        <f aca="false">E10*77</f>
        <v>0</v>
      </c>
      <c r="J10" s="18" t="n">
        <f aca="false">H10-I10</f>
        <v>0</v>
      </c>
      <c r="K10" s="21" t="s">
        <v>40</v>
      </c>
      <c r="L10" s="21" t="s">
        <v>41</v>
      </c>
      <c r="M10" s="15" t="s">
        <v>42</v>
      </c>
    </row>
    <row r="11" customFormat="false" ht="19.5" hidden="false" customHeight="true" outlineLevel="0" collapsed="false">
      <c r="A11" s="16" t="n">
        <v>8</v>
      </c>
      <c r="B11" s="17" t="s">
        <v>43</v>
      </c>
      <c r="C11" s="10" t="s">
        <v>44</v>
      </c>
      <c r="D11" s="11" t="n">
        <v>951</v>
      </c>
      <c r="E11" s="14" t="n">
        <v>164.6</v>
      </c>
      <c r="F11" s="18" t="n">
        <f aca="false">D11-E11</f>
        <v>786.4</v>
      </c>
      <c r="G11" s="18" t="n">
        <f aca="false">IFERROR((D11-E11)/D11*100,0)</f>
        <v>82.6919032597266</v>
      </c>
      <c r="H11" s="11" t="n">
        <f aca="false">D11*77</f>
        <v>73227</v>
      </c>
      <c r="I11" s="18" t="n">
        <f aca="false">E11*77</f>
        <v>12674.2</v>
      </c>
      <c r="J11" s="18" t="n">
        <f aca="false">H11-I11</f>
        <v>60552.8</v>
      </c>
      <c r="K11" s="14" t="s">
        <v>32</v>
      </c>
      <c r="L11" s="14" t="s">
        <v>33</v>
      </c>
      <c r="M11" s="15" t="s">
        <v>45</v>
      </c>
    </row>
    <row r="12" customFormat="false" ht="19.5" hidden="false" customHeight="true" outlineLevel="0" collapsed="false">
      <c r="A12" s="16" t="n">
        <v>9</v>
      </c>
      <c r="B12" s="17" t="s">
        <v>46</v>
      </c>
      <c r="C12" s="10" t="s">
        <v>47</v>
      </c>
      <c r="D12" s="11" t="n">
        <v>263</v>
      </c>
      <c r="E12" s="14" t="n">
        <v>100</v>
      </c>
      <c r="F12" s="18" t="n">
        <f aca="false">D12-E12</f>
        <v>163</v>
      </c>
      <c r="G12" s="18" t="n">
        <f aca="false">IFERROR((D12-E12)/D12*100,0)</f>
        <v>61.9771863117871</v>
      </c>
      <c r="H12" s="11" t="n">
        <f aca="false">D12*77</f>
        <v>20251</v>
      </c>
      <c r="I12" s="18" t="n">
        <f aca="false">E12*77</f>
        <v>7700</v>
      </c>
      <c r="J12" s="18" t="n">
        <f aca="false">H12-I12</f>
        <v>12551</v>
      </c>
      <c r="K12" s="14" t="s">
        <v>32</v>
      </c>
      <c r="L12" s="14" t="s">
        <v>33</v>
      </c>
      <c r="M12" s="15" t="s">
        <v>48</v>
      </c>
    </row>
    <row r="13" customFormat="false" ht="19.5" hidden="false" customHeight="true" outlineLevel="0" collapsed="false">
      <c r="A13" s="16" t="n">
        <v>10</v>
      </c>
      <c r="B13" s="17" t="s">
        <v>49</v>
      </c>
      <c r="C13" s="10" t="s">
        <v>16</v>
      </c>
      <c r="D13" s="11" t="n">
        <v>79</v>
      </c>
      <c r="E13" s="14" t="n">
        <v>40</v>
      </c>
      <c r="F13" s="18" t="n">
        <f aca="false">D13-E13</f>
        <v>39</v>
      </c>
      <c r="G13" s="18" t="n">
        <f aca="false">IFERROR((D13-E13)/D13*100,0)</f>
        <v>49.3670886075949</v>
      </c>
      <c r="H13" s="11" t="n">
        <f aca="false">D13*77</f>
        <v>6083</v>
      </c>
      <c r="I13" s="18" t="n">
        <f aca="false">E13*77</f>
        <v>3080</v>
      </c>
      <c r="J13" s="18" t="n">
        <f aca="false">H13-I13</f>
        <v>3003</v>
      </c>
      <c r="K13" s="14" t="s">
        <v>32</v>
      </c>
      <c r="L13" s="14" t="s">
        <v>33</v>
      </c>
      <c r="M13" s="15" t="s">
        <v>50</v>
      </c>
    </row>
    <row r="14" customFormat="false" ht="19.5" hidden="false" customHeight="true" outlineLevel="0" collapsed="false">
      <c r="A14" s="16" t="n">
        <v>11</v>
      </c>
      <c r="B14" s="17" t="s">
        <v>51</v>
      </c>
      <c r="C14" s="10" t="s">
        <v>52</v>
      </c>
      <c r="D14" s="11" t="n">
        <v>231</v>
      </c>
      <c r="E14" s="14" t="n">
        <v>60</v>
      </c>
      <c r="F14" s="18" t="n">
        <f aca="false">D14-E14</f>
        <v>171</v>
      </c>
      <c r="G14" s="18" t="n">
        <f aca="false">IFERROR((D14-E14)/D14*100,0)</f>
        <v>74.025974025974</v>
      </c>
      <c r="H14" s="11" t="n">
        <f aca="false">D14*77</f>
        <v>17787</v>
      </c>
      <c r="I14" s="18" t="n">
        <f aca="false">E14*77</f>
        <v>4620</v>
      </c>
      <c r="J14" s="18" t="n">
        <f aca="false">H14-I14</f>
        <v>13167</v>
      </c>
      <c r="K14" s="14" t="s">
        <v>32</v>
      </c>
      <c r="L14" s="14" t="s">
        <v>33</v>
      </c>
      <c r="M14" s="15" t="s">
        <v>53</v>
      </c>
    </row>
    <row r="15" customFormat="false" ht="19.5" hidden="false" customHeight="true" outlineLevel="0" collapsed="false">
      <c r="A15" s="16" t="n">
        <v>12</v>
      </c>
      <c r="B15" s="17" t="s">
        <v>54</v>
      </c>
      <c r="C15" s="10" t="s">
        <v>52</v>
      </c>
      <c r="D15" s="11" t="n">
        <v>231</v>
      </c>
      <c r="E15" s="14" t="n">
        <v>54</v>
      </c>
      <c r="F15" s="18" t="n">
        <f aca="false">D15-E15</f>
        <v>177</v>
      </c>
      <c r="G15" s="18" t="n">
        <f aca="false">IFERROR((D15-E15)/D15*100,0)</f>
        <v>76.6233766233766</v>
      </c>
      <c r="H15" s="11" t="n">
        <f aca="false">D15*77</f>
        <v>17787</v>
      </c>
      <c r="I15" s="18" t="n">
        <f aca="false">E15*77</f>
        <v>4158</v>
      </c>
      <c r="J15" s="18" t="n">
        <f aca="false">H15-I15</f>
        <v>13629</v>
      </c>
      <c r="K15" s="14" t="s">
        <v>32</v>
      </c>
      <c r="L15" s="14" t="s">
        <v>33</v>
      </c>
      <c r="M15" s="15" t="s">
        <v>53</v>
      </c>
    </row>
    <row r="16" customFormat="false" ht="24" hidden="false" customHeight="true" outlineLevel="0" collapsed="false">
      <c r="A16" s="22" t="s">
        <v>55</v>
      </c>
      <c r="B16" s="22"/>
      <c r="C16" s="22"/>
      <c r="D16" s="23" t="n">
        <f aca="false">SUM(D4:D15)</f>
        <v>4979</v>
      </c>
      <c r="E16" s="23" t="n">
        <f aca="false">SUM(E4:E15)</f>
        <v>3583.3</v>
      </c>
      <c r="F16" s="18" t="n">
        <f aca="false">D16-E16</f>
        <v>1395.7</v>
      </c>
      <c r="G16" s="18" t="n">
        <f aca="false">IFERROR(F16/D16*100,0)</f>
        <v>28.0317332797751</v>
      </c>
      <c r="H16" s="23" t="n">
        <f aca="false">SUM(H4:H15)</f>
        <v>383383</v>
      </c>
      <c r="I16" s="23" t="n">
        <f aca="false">SUM(I4:I15)</f>
        <v>275914.1</v>
      </c>
      <c r="J16" s="18" t="n">
        <f aca="false">H16-I16</f>
        <v>107468.9</v>
      </c>
    </row>
    <row r="18" customFormat="false" ht="43.5" hidden="false" customHeight="true" outlineLevel="0" collapsed="false">
      <c r="A18" s="24" t="s">
        <v>56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20" customFormat="false" ht="18" hidden="false" customHeight="true" outlineLevel="0" collapsed="false">
      <c r="A20" s="25" t="s">
        <v>57</v>
      </c>
      <c r="B20" s="25"/>
      <c r="C20" s="25"/>
      <c r="D20" s="25"/>
      <c r="E20" s="26" t="n">
        <v>483228.18</v>
      </c>
      <c r="F20" s="26"/>
      <c r="G20" s="26"/>
      <c r="H20" s="27" t="s">
        <v>58</v>
      </c>
      <c r="I20" s="27"/>
      <c r="J20" s="27"/>
      <c r="K20" s="27"/>
      <c r="L20" s="27"/>
      <c r="M20" s="27"/>
    </row>
    <row r="21" customFormat="false" ht="18" hidden="false" customHeight="true" outlineLevel="0" collapsed="false">
      <c r="A21" s="25" t="s">
        <v>59</v>
      </c>
      <c r="B21" s="25"/>
      <c r="C21" s="25"/>
      <c r="D21" s="25"/>
      <c r="E21" s="26" t="n">
        <v>333532.21</v>
      </c>
      <c r="F21" s="26"/>
      <c r="G21" s="26"/>
      <c r="H21" s="27" t="s">
        <v>60</v>
      </c>
      <c r="I21" s="27"/>
      <c r="J21" s="27"/>
      <c r="K21" s="27"/>
      <c r="L21" s="27"/>
      <c r="M21" s="27"/>
    </row>
    <row r="22" customFormat="false" ht="18" hidden="false" customHeight="true" outlineLevel="0" collapsed="false">
      <c r="A22" s="25" t="s">
        <v>61</v>
      </c>
      <c r="B22" s="25"/>
      <c r="C22" s="25"/>
      <c r="D22" s="25"/>
      <c r="E22" s="26" t="n">
        <v>149695.97</v>
      </c>
      <c r="F22" s="26"/>
      <c r="G22" s="26"/>
      <c r="H22" s="27" t="s">
        <v>62</v>
      </c>
      <c r="I22" s="27"/>
      <c r="J22" s="27"/>
      <c r="K22" s="27"/>
      <c r="L22" s="27"/>
      <c r="M22" s="27"/>
    </row>
    <row r="23" customFormat="false" ht="18" hidden="false" customHeight="true" outlineLevel="0" collapsed="false">
      <c r="A23" s="25" t="s">
        <v>63</v>
      </c>
      <c r="B23" s="25"/>
      <c r="C23" s="25"/>
      <c r="D23" s="25"/>
      <c r="E23" s="26" t="n">
        <v>6000</v>
      </c>
      <c r="F23" s="26"/>
      <c r="G23" s="26"/>
      <c r="H23" s="27" t="s">
        <v>64</v>
      </c>
      <c r="I23" s="27"/>
      <c r="J23" s="27"/>
      <c r="K23" s="27"/>
      <c r="L23" s="27"/>
      <c r="M23" s="27"/>
    </row>
    <row r="24" customFormat="false" ht="18" hidden="false" customHeight="true" outlineLevel="0" collapsed="false">
      <c r="A24" s="25" t="s">
        <v>65</v>
      </c>
      <c r="B24" s="25"/>
      <c r="C24" s="25"/>
      <c r="D24" s="25"/>
      <c r="E24" s="26" t="n">
        <v>3631.1</v>
      </c>
      <c r="F24" s="26"/>
      <c r="G24" s="26"/>
      <c r="H24" s="27" t="s">
        <v>66</v>
      </c>
      <c r="I24" s="27"/>
      <c r="J24" s="27"/>
      <c r="K24" s="27"/>
      <c r="L24" s="27"/>
      <c r="M24" s="27"/>
    </row>
    <row r="25" customFormat="false" ht="18" hidden="false" customHeight="true" outlineLevel="0" collapsed="false">
      <c r="A25" s="25" t="s">
        <v>67</v>
      </c>
      <c r="B25" s="25"/>
      <c r="C25" s="25"/>
      <c r="D25" s="25"/>
      <c r="E25" s="26" t="n">
        <v>2368.9</v>
      </c>
      <c r="F25" s="26"/>
      <c r="G25" s="26"/>
      <c r="H25" s="27" t="s">
        <v>68</v>
      </c>
      <c r="I25" s="27"/>
      <c r="J25" s="27"/>
      <c r="K25" s="27"/>
      <c r="L25" s="27"/>
      <c r="M25" s="27"/>
    </row>
    <row r="26" customFormat="false" ht="18" hidden="false" customHeight="true" outlineLevel="0" collapsed="false">
      <c r="A26" s="25" t="s">
        <v>69</v>
      </c>
      <c r="B26" s="25"/>
      <c r="C26" s="25"/>
      <c r="D26" s="25"/>
      <c r="E26" s="26" t="n">
        <v>77</v>
      </c>
      <c r="F26" s="26"/>
      <c r="G26" s="26"/>
      <c r="H26" s="27" t="s">
        <v>70</v>
      </c>
      <c r="I26" s="27"/>
      <c r="J26" s="27"/>
      <c r="K26" s="27"/>
      <c r="L26" s="27"/>
      <c r="M26" s="27"/>
    </row>
    <row r="27" customFormat="false" ht="18" hidden="false" customHeight="true" outlineLevel="0" collapsed="false">
      <c r="A27" s="25" t="s">
        <v>71</v>
      </c>
      <c r="B27" s="25"/>
      <c r="C27" s="25"/>
      <c r="D27" s="25"/>
      <c r="E27" s="26" t="s">
        <v>72</v>
      </c>
      <c r="F27" s="26"/>
      <c r="G27" s="26"/>
      <c r="H27" s="27" t="s">
        <v>73</v>
      </c>
      <c r="I27" s="27"/>
      <c r="J27" s="27"/>
      <c r="K27" s="27"/>
      <c r="L27" s="27"/>
      <c r="M27" s="27"/>
    </row>
    <row r="28" customFormat="false" ht="18" hidden="false" customHeight="true" outlineLevel="0" collapsed="false">
      <c r="A28" s="25" t="s">
        <v>74</v>
      </c>
      <c r="B28" s="25"/>
      <c r="C28" s="25"/>
      <c r="D28" s="25"/>
      <c r="E28" s="26" t="s">
        <v>75</v>
      </c>
      <c r="F28" s="26"/>
      <c r="G28" s="26"/>
      <c r="H28" s="27" t="s">
        <v>76</v>
      </c>
      <c r="I28" s="27"/>
      <c r="J28" s="27"/>
      <c r="K28" s="27"/>
      <c r="L28" s="27"/>
      <c r="M28" s="27"/>
    </row>
  </sheetData>
  <mergeCells count="31">
    <mergeCell ref="A1:M1"/>
    <mergeCell ref="A2:M2"/>
    <mergeCell ref="A16:C16"/>
    <mergeCell ref="A18:M18"/>
    <mergeCell ref="A20:D20"/>
    <mergeCell ref="E20:G20"/>
    <mergeCell ref="H20:M20"/>
    <mergeCell ref="A21:D21"/>
    <mergeCell ref="E21:G21"/>
    <mergeCell ref="H21:M21"/>
    <mergeCell ref="A22:D22"/>
    <mergeCell ref="E22:G22"/>
    <mergeCell ref="H22:M22"/>
    <mergeCell ref="A23:D23"/>
    <mergeCell ref="E23:G23"/>
    <mergeCell ref="H23:M23"/>
    <mergeCell ref="A24:D24"/>
    <mergeCell ref="E24:G24"/>
    <mergeCell ref="H24:M24"/>
    <mergeCell ref="A25:D25"/>
    <mergeCell ref="E25:G25"/>
    <mergeCell ref="H25:M25"/>
    <mergeCell ref="A26:D26"/>
    <mergeCell ref="E26:G26"/>
    <mergeCell ref="H26:M26"/>
    <mergeCell ref="A27:D27"/>
    <mergeCell ref="E27:G27"/>
    <mergeCell ref="H27:M27"/>
    <mergeCell ref="A28:D28"/>
    <mergeCell ref="E28:G28"/>
    <mergeCell ref="H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2026-06-17T16:24:20Z</dcterms:created>
  <dc:creator>openpyxl</dc:creator>
  <dc:description/>
  <dc:language>en-US</dc:language>
  <cp:lastModifiedBy/>
  <dcterms:modified xsi:type="dcterms:W3CDTF">2026-06-17T16:24:35Z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