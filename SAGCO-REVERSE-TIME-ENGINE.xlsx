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RSE TIME ENG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<sst xmlns="http://schemas.openxmlformats.org/spreadsheetml/2006/main" count="109" uniqueCount="61">
  <si>
    <t xml:space="preserve">SAGCO REVERSE TIME ENGINE | $ Target → Hours → Days → Calendar Date | PO# 4406147216</t>
  </si>
  <si>
    <t xml:space="preserve">REVERSE ALGORITHM: HOURS = $ ÷ BLEND_RATE  |  DAYS = HOURS ÷ (MEN × 10)  |  LNFT_RATE = LNFT ÷ TOTAL_HRS  |  DIFFICULTY = C1602_RATE ÷ CIRCUIT_RATE  |  FINISH_DATE = START + DAYS</t>
  </si>
  <si>
    <t xml:space="preserve">CIRCUIT</t>
  </si>
  <si>
    <t xml:space="preserve">EQUIPMENT</t>
  </si>
  <si>
    <t xml:space="preserve">LNFT</t>
  </si>
  <si>
    <t xml:space="preserve">LNFT/DAY
(rate)</t>
  </si>
  <si>
    <t xml:space="preserve">DIFFICULTY
vs C1602</t>
  </si>
  <si>
    <t xml:space="preserve">MEN</t>
  </si>
  <si>
    <t xml:space="preserve">$ TARGET
(input)</t>
  </si>
  <si>
    <t xml:space="preserve">HRS FROM
$</t>
  </si>
  <si>
    <t xml:space="preserve">10HR
DAYS</t>
  </si>
  <si>
    <t xml:space="preserve">CALENDAR
DAYS</t>
  </si>
  <si>
    <t xml:space="preserve">START
DATE</t>
  </si>
  <si>
    <t xml:space="preserve">FINISH
DATE</t>
  </si>
  <si>
    <t xml:space="preserve">LNFT/HR
actual</t>
  </si>
  <si>
    <t xml:space="preserve">VERDICT</t>
  </si>
  <si>
    <t xml:space="preserve">C-1602-O-1B</t>
  </si>
  <si>
    <t xml:space="preserve">FURNACE A-N</t>
  </si>
  <si>
    <t xml:space="preserve">1.0×</t>
  </si>
  <si>
    <t xml:space="preserve">2026-06-17</t>
  </si>
  <si>
    <t xml:space="preserve">🟢 BASELINE</t>
  </si>
  <si>
    <t xml:space="preserve">F-1763-PR-1A</t>
  </si>
  <si>
    <t xml:space="preserve">COLD FRAC</t>
  </si>
  <si>
    <t xml:space="preserve">—</t>
  </si>
  <si>
    <t xml:space="preserve">✅ COMPLETE</t>
  </si>
  <si>
    <t xml:space="preserve">E-1706-NA-1A</t>
  </si>
  <si>
    <t xml:space="preserve">COMPRESSOR DECK</t>
  </si>
  <si>
    <t xml:space="preserve">7.08×</t>
  </si>
  <si>
    <t xml:space="preserve">⛔ HIGH DIFFICULTY</t>
  </si>
  <si>
    <t xml:space="preserve">IS-HDRFE-1A</t>
  </si>
  <si>
    <t xml:space="preserve">FURNACE/EXCHANGER</t>
  </si>
  <si>
    <t xml:space="preserve">PO-HDRFE-1B</t>
  </si>
  <si>
    <t xml:space="preserve">FURNACE/EXCHANGER PRIM</t>
  </si>
  <si>
    <t xml:space="preserve">3.99×</t>
  </si>
  <si>
    <t xml:space="preserve">🔴 HARD CIRCUIT</t>
  </si>
  <si>
    <t xml:space="preserve">HBF-HDRULT-1C</t>
  </si>
  <si>
    <t xml:space="preserve">BOILER FEED WATER</t>
  </si>
  <si>
    <t xml:space="preserve">4.36×</t>
  </si>
  <si>
    <t xml:space="preserve">J-2011-FO-1B</t>
  </si>
  <si>
    <t xml:space="preserve">2"-to-162520</t>
  </si>
  <si>
    <t xml:space="preserve">4.67×</t>
  </si>
  <si>
    <t xml:space="preserve">HBF-HDRULT-1B</t>
  </si>
  <si>
    <t xml:space="preserve">GMU-ALLEY WKY</t>
  </si>
  <si>
    <t xml:space="preserve">6.49×</t>
  </si>
  <si>
    <t xml:space="preserve">F-1723A</t>
  </si>
  <si>
    <t xml:space="preserve">GMU2</t>
  </si>
  <si>
    <t xml:space="preserve">F-1723B</t>
  </si>
  <si>
    <t xml:space="preserve">F-1728</t>
  </si>
  <si>
    <t xml:space="preserve">▶  REVERSE KEY: $123,130.70 ÷ $77 = 1,599.1 hrs  |  1,599.1 ÷ (4 men × 10) = 39.97 ten-hour days  |  C-1602 at 46.7 LNFT/day → 39.97 days = 1,867 LNFT completable  |  E-1706 at 6.6 LNFT/day → 39.97 days = only 264 LNFT  |  SAME DOLLAR, 7.1× LESS PHYSICAL OUTPUT — that IS the bias proof</t>
  </si>
  <si>
    <t xml:space="preserve">DIFFICULTY TABLE: C-1602 RATE vs EACH CIRCUIT</t>
  </si>
  <si>
    <t xml:space="preserve">BASELINE — estimator reference</t>
  </si>
  <si>
    <t xml:space="preserve">4.0×</t>
  </si>
  <si>
    <t xml:space="preserve">Primary frac — 4× harder than estimate baseline</t>
  </si>
  <si>
    <t xml:space="preserve">4.4×</t>
  </si>
  <si>
    <t xml:space="preserve">Boiler feed water — tight geometry</t>
  </si>
  <si>
    <t xml:space="preserve">4.7×</t>
  </si>
  <si>
    <t xml:space="preserve">2" pipe cluster — fitting density high</t>
  </si>
  <si>
    <t xml:space="preserve">6.5×</t>
  </si>
  <si>
    <t xml:space="preserve">GMU alley — confined space multiplier</t>
  </si>
  <si>
    <t xml:space="preserve">7.1×</t>
  </si>
  <si>
    <t xml:space="preserve">Compressor deck — highest difficulty on PO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</si>
</sst>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E5FF"/>
      <name val="Arial"/>
      <family val="0"/>
      <charset val="1"/>
    </font>
    <font>
      <i val="true"/>
      <sz val="9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0"/>
      <color rgb="FFBB86FC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sz val="10"/>
      <color rgb="FFCCCCCC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BB86FC"/>
      <name val="Arial"/>
      <family val="0"/>
      <charset val="1"/>
    </font>
    <font>
      <sz val="10"/>
      <color rgb="FFFFD700"/>
      <name val="Arial"/>
      <family val="0"/>
      <charset val="1"/>
    </font>
    <font>
      <sz val="10"/>
      <color rgb="FFFF8C0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9"/>
      <color rgb="FF00FF88"/>
      <name val="Arial"/>
      <family val="0"/>
      <charset val="1"/>
    </font>
    <font>
      <sz val="10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5C0000"/>
        <bgColor rgb="FF800000"/>
      </patternFill>
    </fill>
    <fill>
      <patternFill patternType="solid">
        <fgColor rgb="FF533483"/>
        <bgColor rgb="FF333355"/>
      </patternFill>
    </fill>
    <fill>
      <patternFill patternType="solid">
        <fgColor rgb="FF0A3622"/>
        <bgColor rgb="FF16213E"/>
      </patternFill>
    </fill>
    <fill>
      <patternFill patternType="solid">
        <fgColor rgb="FF3D1A00"/>
        <bgColor rgb="FF1A1A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5C0000"/>
      <rgbColor rgb="FF008000"/>
      <rgbColor rgb="FF16213E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BB86FC"/>
      <rgbColor rgb="FFFFCC99"/>
      <rgbColor rgb="FF3366FF"/>
      <rgbColor rgb="FF33CCCC"/>
      <rgbColor rgb="FF99CC00"/>
      <rgbColor rgb="FFFFD700"/>
      <rgbColor rgb="FFFF8C00"/>
      <rgbColor rgb="FFFF4444"/>
      <rgbColor rgb="FF555555"/>
      <rgbColor rgb="FFAAAAAA"/>
      <rgbColor rgb="FF0F3460"/>
      <rgbColor rgb="FF339966"/>
      <rgbColor rgb="FF0A3622"/>
      <rgbColor rgb="FF3D1A00"/>
      <rgbColor rgb="FF993300"/>
      <rgbColor rgb="FF993366"/>
      <rgbColor rgb="FF533483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3" t="s">
        <v>2</v>
      </c>
      <c r="B3" s="3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8" t="s">
        <v>11</v>
      </c>
      <c r="K3" s="9" t="s">
        <v>12</v>
      </c>
      <c r="L3" s="9" t="s">
        <v>13</v>
      </c>
      <c r="M3" s="6" t="s">
        <v>14</v>
      </c>
      <c r="N3" s="3" t="s">
        <v>15</v>
      </c>
    </row>
    <row r="4" customFormat="false" ht="19.5" hidden="false" customHeight="true" outlineLevel="0" collapsed="false">
      <c r="A4" s="10" t="s">
        <v>16</v>
      </c>
      <c r="B4" s="11" t="s">
        <v>17</v>
      </c>
      <c r="C4" s="12" t="n">
        <v>785</v>
      </c>
      <c r="D4" s="13" t="n">
        <v>46.7</v>
      </c>
      <c r="E4" s="14" t="s">
        <v>18</v>
      </c>
      <c r="F4" s="15" t="n">
        <v>4</v>
      </c>
      <c r="G4" s="13" t="n">
        <v>74067.13</v>
      </c>
      <c r="H4" s="14" t="n">
        <f aca="false">IFERROR(G4/77,0)</f>
        <v>961.910779220779</v>
      </c>
      <c r="I4" s="16" t="n">
        <f aca="false">IFERROR(H4/(F4*10),0)</f>
        <v>24.0477694805195</v>
      </c>
      <c r="J4" s="17" t="n">
        <f aca="false">IFERROR(785/46.7,0)</f>
        <v>16.8094218415418</v>
      </c>
      <c r="K4" s="16" t="s">
        <v>19</v>
      </c>
      <c r="L4" s="18" t="n">
        <f aca="false">IFERROR(DATEVALUE(K4)+J4,"—")</f>
        <v>46206.8094218415</v>
      </c>
      <c r="M4" s="15" t="n">
        <v>1.167</v>
      </c>
      <c r="N4" s="13" t="s">
        <v>20</v>
      </c>
    </row>
    <row r="5" customFormat="false" ht="19.5" hidden="false" customHeight="true" outlineLevel="0" collapsed="false">
      <c r="A5" s="19" t="s">
        <v>21</v>
      </c>
      <c r="B5" s="20" t="s">
        <v>22</v>
      </c>
      <c r="C5" s="12" t="n">
        <v>75</v>
      </c>
      <c r="D5" s="13" t="n">
        <v>46.7</v>
      </c>
      <c r="E5" s="14" t="s">
        <v>18</v>
      </c>
      <c r="F5" s="15" t="n">
        <v>4</v>
      </c>
      <c r="G5" s="21" t="n">
        <v>0</v>
      </c>
      <c r="H5" s="21" t="s">
        <v>23</v>
      </c>
      <c r="I5" s="21" t="s">
        <v>23</v>
      </c>
      <c r="J5" s="17" t="n">
        <f aca="false">IFERROR(75/46.7,0)</f>
        <v>1.60599571734475</v>
      </c>
      <c r="K5" s="16" t="s">
        <v>19</v>
      </c>
      <c r="L5" s="18" t="n">
        <f aca="false">IFERROR(DATEVALUE(K5)+J5,"—")</f>
        <v>46191.6059957173</v>
      </c>
      <c r="M5" s="15" t="n">
        <v>1.168</v>
      </c>
      <c r="N5" s="13" t="s">
        <v>24</v>
      </c>
    </row>
    <row r="6" customFormat="false" ht="19.5" hidden="false" customHeight="true" outlineLevel="0" collapsed="false">
      <c r="A6" s="10" t="s">
        <v>25</v>
      </c>
      <c r="B6" s="11" t="s">
        <v>26</v>
      </c>
      <c r="C6" s="12" t="n">
        <v>46</v>
      </c>
      <c r="D6" s="22" t="n">
        <v>6.6</v>
      </c>
      <c r="E6" s="22" t="s">
        <v>27</v>
      </c>
      <c r="F6" s="15" t="n">
        <v>4</v>
      </c>
      <c r="G6" s="13" t="n">
        <v>4340.24</v>
      </c>
      <c r="H6" s="14" t="n">
        <f aca="false">IFERROR(G6/77,0)</f>
        <v>56.3667532467532</v>
      </c>
      <c r="I6" s="16" t="n">
        <f aca="false">IFERROR(H6/(F6*10),0)</f>
        <v>1.40916883116883</v>
      </c>
      <c r="J6" s="17" t="n">
        <f aca="false">IFERROR(46/6.6,0)</f>
        <v>6.96969696969697</v>
      </c>
      <c r="K6" s="16" t="s">
        <v>19</v>
      </c>
      <c r="L6" s="18" t="n">
        <f aca="false">IFERROR(DATEVALUE(K6)+J6,"—")</f>
        <v>46196.9696969697</v>
      </c>
      <c r="M6" s="15" t="n">
        <v>0.165</v>
      </c>
      <c r="N6" s="22" t="s">
        <v>28</v>
      </c>
    </row>
    <row r="7" customFormat="false" ht="19.5" hidden="false" customHeight="true" outlineLevel="0" collapsed="false">
      <c r="A7" s="19" t="s">
        <v>29</v>
      </c>
      <c r="B7" s="20" t="s">
        <v>30</v>
      </c>
      <c r="C7" s="12" t="n">
        <v>317</v>
      </c>
      <c r="D7" s="13" t="n">
        <v>46.7</v>
      </c>
      <c r="E7" s="14" t="s">
        <v>18</v>
      </c>
      <c r="F7" s="15" t="n">
        <v>4</v>
      </c>
      <c r="G7" s="21" t="n">
        <v>0</v>
      </c>
      <c r="H7" s="21" t="s">
        <v>23</v>
      </c>
      <c r="I7" s="21" t="s">
        <v>23</v>
      </c>
      <c r="J7" s="17" t="n">
        <f aca="false">IFERROR(317/46.7,0)</f>
        <v>6.78800856531049</v>
      </c>
      <c r="K7" s="16" t="s">
        <v>19</v>
      </c>
      <c r="L7" s="18" t="n">
        <f aca="false">IFERROR(DATEVALUE(K7)+J7,"—")</f>
        <v>46196.7880085653</v>
      </c>
      <c r="M7" s="15" t="n">
        <v>1.167</v>
      </c>
      <c r="N7" s="13" t="s">
        <v>24</v>
      </c>
    </row>
    <row r="8" customFormat="false" ht="19.5" hidden="false" customHeight="true" outlineLevel="0" collapsed="false">
      <c r="A8" s="10" t="s">
        <v>31</v>
      </c>
      <c r="B8" s="11" t="s">
        <v>32</v>
      </c>
      <c r="C8" s="12" t="n">
        <v>117</v>
      </c>
      <c r="D8" s="23" t="n">
        <v>11.7</v>
      </c>
      <c r="E8" s="16" t="s">
        <v>33</v>
      </c>
      <c r="F8" s="15" t="n">
        <v>4</v>
      </c>
      <c r="G8" s="13" t="n">
        <v>11039.3</v>
      </c>
      <c r="H8" s="14" t="n">
        <f aca="false">IFERROR(G8/77,0)</f>
        <v>143.367532467532</v>
      </c>
      <c r="I8" s="16" t="n">
        <f aca="false">IFERROR(H8/(F8*10),0)</f>
        <v>3.58418831168831</v>
      </c>
      <c r="J8" s="17" t="n">
        <f aca="false">IFERROR(117/11.7,0)</f>
        <v>10</v>
      </c>
      <c r="K8" s="16" t="s">
        <v>19</v>
      </c>
      <c r="L8" s="18" t="n">
        <f aca="false">IFERROR(DATEVALUE(K8)+J8,"—")</f>
        <v>46200</v>
      </c>
      <c r="M8" s="15" t="n">
        <v>0.292</v>
      </c>
      <c r="N8" s="24" t="s">
        <v>34</v>
      </c>
    </row>
    <row r="9" customFormat="false" ht="19.5" hidden="false" customHeight="true" outlineLevel="0" collapsed="false">
      <c r="A9" s="10" t="s">
        <v>35</v>
      </c>
      <c r="B9" s="11" t="s">
        <v>36</v>
      </c>
      <c r="C9" s="12" t="n">
        <v>86</v>
      </c>
      <c r="D9" s="23" t="n">
        <v>10.7</v>
      </c>
      <c r="E9" s="16" t="s">
        <v>37</v>
      </c>
      <c r="F9" s="15" t="n">
        <v>4</v>
      </c>
      <c r="G9" s="13" t="n">
        <v>8114.36</v>
      </c>
      <c r="H9" s="14" t="n">
        <f aca="false">IFERROR(G9/77,0)</f>
        <v>105.381298701299</v>
      </c>
      <c r="I9" s="16" t="n">
        <f aca="false">IFERROR(H9/(F9*10),0)</f>
        <v>2.63453246753247</v>
      </c>
      <c r="J9" s="17" t="n">
        <f aca="false">IFERROR(86/10.7,0)</f>
        <v>8.03738317757009</v>
      </c>
      <c r="K9" s="16" t="s">
        <v>19</v>
      </c>
      <c r="L9" s="18" t="n">
        <f aca="false">IFERROR(DATEVALUE(K9)+J9,"—")</f>
        <v>46198.0373831776</v>
      </c>
      <c r="M9" s="15" t="n">
        <v>0.268</v>
      </c>
      <c r="N9" s="24" t="s">
        <v>34</v>
      </c>
    </row>
    <row r="10" customFormat="false" ht="19.5" hidden="false" customHeight="true" outlineLevel="0" collapsed="false">
      <c r="A10" s="10" t="s">
        <v>38</v>
      </c>
      <c r="B10" s="11" t="s">
        <v>39</v>
      </c>
      <c r="C10" s="12" t="n">
        <v>126</v>
      </c>
      <c r="D10" s="22" t="n">
        <v>10</v>
      </c>
      <c r="E10" s="16" t="s">
        <v>40</v>
      </c>
      <c r="F10" s="15" t="n">
        <v>4</v>
      </c>
      <c r="G10" s="13" t="n">
        <v>11888.48</v>
      </c>
      <c r="H10" s="14" t="n">
        <f aca="false">IFERROR(G10/77,0)</f>
        <v>154.395844155844</v>
      </c>
      <c r="I10" s="16" t="n">
        <f aca="false">IFERROR(H10/(F10*10),0)</f>
        <v>3.8598961038961</v>
      </c>
      <c r="J10" s="17" t="n">
        <f aca="false">IFERROR(126/10,0)</f>
        <v>12.6</v>
      </c>
      <c r="K10" s="16" t="s">
        <v>19</v>
      </c>
      <c r="L10" s="18" t="n">
        <f aca="false">IFERROR(DATEVALUE(K10)+J10,"—")</f>
        <v>46202.6</v>
      </c>
      <c r="M10" s="15" t="n">
        <v>0.25</v>
      </c>
      <c r="N10" s="24" t="s">
        <v>34</v>
      </c>
    </row>
    <row r="11" customFormat="false" ht="19.5" hidden="false" customHeight="true" outlineLevel="0" collapsed="false">
      <c r="A11" s="10" t="s">
        <v>41</v>
      </c>
      <c r="B11" s="11" t="s">
        <v>42</v>
      </c>
      <c r="C11" s="12" t="n">
        <v>84</v>
      </c>
      <c r="D11" s="22" t="n">
        <v>7.2</v>
      </c>
      <c r="E11" s="22" t="s">
        <v>43</v>
      </c>
      <c r="F11" s="15" t="n">
        <v>4</v>
      </c>
      <c r="G11" s="13" t="n">
        <v>7925.65</v>
      </c>
      <c r="H11" s="14" t="n">
        <f aca="false">IFERROR(G11/77,0)</f>
        <v>102.930519480519</v>
      </c>
      <c r="I11" s="16" t="n">
        <f aca="false">IFERROR(H11/(F11*10),0)</f>
        <v>2.57326298701299</v>
      </c>
      <c r="J11" s="17" t="n">
        <f aca="false">IFERROR(84/7.2,0)</f>
        <v>11.6666666666667</v>
      </c>
      <c r="K11" s="16" t="s">
        <v>19</v>
      </c>
      <c r="L11" s="18" t="n">
        <f aca="false">IFERROR(DATEVALUE(K11)+J11,"—")</f>
        <v>46201.6666666667</v>
      </c>
      <c r="M11" s="15" t="n">
        <v>0.18</v>
      </c>
      <c r="N11" s="22" t="s">
        <v>28</v>
      </c>
    </row>
    <row r="12" customFormat="false" ht="19.5" hidden="false" customHeight="true" outlineLevel="0" collapsed="false">
      <c r="A12" s="10" t="s">
        <v>44</v>
      </c>
      <c r="B12" s="11" t="s">
        <v>45</v>
      </c>
      <c r="C12" s="12" t="s">
        <v>23</v>
      </c>
      <c r="D12" s="13" t="n">
        <v>46.7</v>
      </c>
      <c r="E12" s="14" t="s">
        <v>18</v>
      </c>
      <c r="F12" s="15" t="n">
        <v>4</v>
      </c>
      <c r="G12" s="21" t="s">
        <v>23</v>
      </c>
      <c r="H12" s="21" t="s">
        <v>23</v>
      </c>
      <c r="I12" s="21" t="s">
        <v>23</v>
      </c>
      <c r="J12" s="21" t="s">
        <v>23</v>
      </c>
      <c r="K12" s="16" t="s">
        <v>19</v>
      </c>
      <c r="L12" s="21" t="s">
        <v>23</v>
      </c>
      <c r="M12" s="21" t="s">
        <v>23</v>
      </c>
      <c r="N12" s="13" t="s">
        <v>20</v>
      </c>
    </row>
    <row r="13" customFormat="false" ht="19.5" hidden="false" customHeight="true" outlineLevel="0" collapsed="false">
      <c r="A13" s="10" t="s">
        <v>46</v>
      </c>
      <c r="B13" s="11" t="s">
        <v>45</v>
      </c>
      <c r="C13" s="12" t="s">
        <v>23</v>
      </c>
      <c r="D13" s="13" t="n">
        <v>46.7</v>
      </c>
      <c r="E13" s="14" t="s">
        <v>18</v>
      </c>
      <c r="F13" s="15" t="n">
        <v>4</v>
      </c>
      <c r="G13" s="21" t="s">
        <v>23</v>
      </c>
      <c r="H13" s="21" t="s">
        <v>23</v>
      </c>
      <c r="I13" s="21" t="s">
        <v>23</v>
      </c>
      <c r="J13" s="21" t="s">
        <v>23</v>
      </c>
      <c r="K13" s="16" t="s">
        <v>19</v>
      </c>
      <c r="L13" s="21" t="s">
        <v>23</v>
      </c>
      <c r="M13" s="21" t="s">
        <v>23</v>
      </c>
      <c r="N13" s="13" t="s">
        <v>20</v>
      </c>
    </row>
    <row r="14" customFormat="false" ht="19.5" hidden="false" customHeight="true" outlineLevel="0" collapsed="false">
      <c r="A14" s="10" t="s">
        <v>47</v>
      </c>
      <c r="B14" s="11" t="s">
        <v>22</v>
      </c>
      <c r="C14" s="12" t="n">
        <v>32</v>
      </c>
      <c r="D14" s="13" t="n">
        <v>46.7</v>
      </c>
      <c r="E14" s="14" t="s">
        <v>18</v>
      </c>
      <c r="F14" s="15" t="n">
        <v>4</v>
      </c>
      <c r="G14" s="13" t="n">
        <v>3019.3</v>
      </c>
      <c r="H14" s="14" t="n">
        <f aca="false">IFERROR(G14/77,0)</f>
        <v>39.2116883116883</v>
      </c>
      <c r="I14" s="16" t="n">
        <f aca="false">IFERROR(H14/(F14*10),0)</f>
        <v>0.980292207792208</v>
      </c>
      <c r="J14" s="17" t="n">
        <f aca="false">IFERROR(32/46.7,0)</f>
        <v>0.685224839400428</v>
      </c>
      <c r="K14" s="16" t="s">
        <v>19</v>
      </c>
      <c r="L14" s="18" t="n">
        <f aca="false">IFERROR(DATEVALUE(K14)+J14,"—")</f>
        <v>46190.6852248394</v>
      </c>
      <c r="M14" s="15" t="n">
        <v>1.168</v>
      </c>
      <c r="N14" s="13" t="s">
        <v>20</v>
      </c>
    </row>
    <row r="16" customFormat="false" ht="43.5" hidden="false" customHeight="true" outlineLevel="0" collapsed="false">
      <c r="A16" s="25" t="s">
        <v>48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8" customFormat="false" ht="15" hidden="false" customHeight="false" outlineLevel="0" collapsed="false">
      <c r="A18" s="26" t="s">
        <v>49</v>
      </c>
      <c r="B18" s="26"/>
      <c r="C18" s="26"/>
      <c r="D18" s="26"/>
      <c r="E18" s="26"/>
      <c r="F18" s="26"/>
      <c r="G18" s="26"/>
    </row>
    <row r="19" customFormat="false" ht="18" hidden="false" customHeight="true" outlineLevel="0" collapsed="false">
      <c r="A19" s="27" t="s">
        <v>16</v>
      </c>
      <c r="B19" s="14" t="n">
        <v>46.7</v>
      </c>
      <c r="C19" s="13" t="s">
        <v>18</v>
      </c>
      <c r="D19" s="28" t="s">
        <v>50</v>
      </c>
      <c r="E19" s="28"/>
      <c r="F19" s="28"/>
      <c r="G19" s="28"/>
      <c r="H19" s="29"/>
      <c r="I19" s="29"/>
    </row>
    <row r="20" customFormat="false" ht="18" hidden="false" customHeight="true" outlineLevel="0" collapsed="false">
      <c r="A20" s="27" t="s">
        <v>31</v>
      </c>
      <c r="B20" s="14" t="n">
        <v>11.7</v>
      </c>
      <c r="C20" s="23" t="s">
        <v>51</v>
      </c>
      <c r="D20" s="28" t="s">
        <v>52</v>
      </c>
      <c r="E20" s="28"/>
      <c r="F20" s="28"/>
      <c r="G20" s="28"/>
      <c r="H20" s="29"/>
      <c r="I20" s="29"/>
    </row>
    <row r="21" customFormat="false" ht="18" hidden="false" customHeight="true" outlineLevel="0" collapsed="false">
      <c r="A21" s="27" t="s">
        <v>35</v>
      </c>
      <c r="B21" s="14" t="n">
        <v>10.7</v>
      </c>
      <c r="C21" s="23" t="s">
        <v>53</v>
      </c>
      <c r="D21" s="28" t="s">
        <v>54</v>
      </c>
      <c r="E21" s="28"/>
      <c r="F21" s="28"/>
      <c r="G21" s="28"/>
      <c r="H21" s="29"/>
      <c r="I21" s="29"/>
    </row>
    <row r="22" customFormat="false" ht="18" hidden="false" customHeight="true" outlineLevel="0" collapsed="false">
      <c r="A22" s="27" t="s">
        <v>38</v>
      </c>
      <c r="B22" s="14" t="n">
        <v>10</v>
      </c>
      <c r="C22" s="23" t="s">
        <v>55</v>
      </c>
      <c r="D22" s="28" t="s">
        <v>56</v>
      </c>
      <c r="E22" s="28"/>
      <c r="F22" s="28"/>
      <c r="G22" s="28"/>
      <c r="H22" s="29"/>
      <c r="I22" s="29"/>
    </row>
    <row r="23" customFormat="false" ht="18" hidden="false" customHeight="true" outlineLevel="0" collapsed="false">
      <c r="A23" s="27" t="s">
        <v>41</v>
      </c>
      <c r="B23" s="14" t="n">
        <v>7.2</v>
      </c>
      <c r="C23" s="22" t="s">
        <v>57</v>
      </c>
      <c r="D23" s="28" t="s">
        <v>58</v>
      </c>
      <c r="E23" s="28"/>
      <c r="F23" s="28"/>
      <c r="G23" s="28"/>
      <c r="H23" s="29"/>
      <c r="I23" s="29"/>
    </row>
    <row r="24" customFormat="false" ht="18" hidden="false" customHeight="true" outlineLevel="0" collapsed="false">
      <c r="A24" s="27" t="s">
        <v>25</v>
      </c>
      <c r="B24" s="14" t="n">
        <v>6.6</v>
      </c>
      <c r="C24" s="22" t="s">
        <v>59</v>
      </c>
      <c r="D24" s="28" t="s">
        <v>60</v>
      </c>
      <c r="E24" s="28"/>
      <c r="F24" s="28"/>
      <c r="G24" s="28"/>
      <c r="H24" s="29"/>
      <c r="I24" s="29"/>
    </row>
  </sheetData>
  <mergeCells count="10">
    <mergeCell ref="A1:N1"/>
    <mergeCell ref="A2:N2"/>
    <mergeCell ref="A16:N16"/>
    <mergeCell ref="A18:G18"/>
    <mergeCell ref="D19:G19"/>
    <mergeCell ref="D20:G20"/>
    <mergeCell ref="D21:G21"/>
    <mergeCell ref="D22:G22"/>
    <mergeCell ref="D23:G23"/>
    <mergeCell ref="D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2026-06-17T12:15:22Z</dcterms:created>
  <dc:creator>openpyxl</dc:creator>
  <dc:description/>
  <dc:language>en-US</dc:language>
  <cp:lastModifiedBy/>
  <dcterms:modified xsi:type="dcterms:W3CDTF">2026-06-17T12:15:22Z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