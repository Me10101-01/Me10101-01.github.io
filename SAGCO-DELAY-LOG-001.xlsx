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AY_LOG" sheetId="1" state="visible" r:id="rId3"/>
    <sheet name="SUMMARY" sheetId="2" state="visible" r:id="rId4"/>
    <sheet name="NEW_E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<sst xmlns="http://schemas.openxmlformats.org/spreadsheetml/2006/main" count="128" uniqueCount="94">
  <si>
    <t xml:space="preserve">SAGCO · DELAY LOG  |  PO 4406147216  |  LyondellBasell Corpus Christi  |  RA SPRAT L3 – Domenic Garza</t>
  </si>
  <si>
    <t xml:space="preserve">Sovereign delay-attribution record  |  Math result ≠ Field approval  |  Budget Balance ≠ Work Remaining</t>
  </si>
  <si>
    <t xml:space="preserve">DEL#</t>
  </si>
  <si>
    <t xml:space="preserve">DATE</t>
  </si>
  <si>
    <t xml:space="preserve">DAY</t>
  </si>
  <si>
    <t xml:space="preserve">CATEGORY</t>
  </si>
  <si>
    <t xml:space="preserve">CIRCUIT
AFFECTED</t>
  </si>
  <si>
    <t xml:space="preserve">START
TIME</t>
  </si>
  <si>
    <t xml:space="preserve">END
TIME</t>
  </si>
  <si>
    <t xml:space="preserve">HRS
LOST</t>
  </si>
  <si>
    <t xml:space="preserve">CREW
SIZE</t>
  </si>
  <si>
    <t xml:space="preserve">MAN-HRS
LOST</t>
  </si>
  <si>
    <t xml:space="preserve">RESPONSIBLE
PARTY</t>
  </si>
  <si>
    <t xml:space="preserve">DESCRIPTION</t>
  </si>
  <si>
    <t xml:space="preserve">RECOVERY
ACTION</t>
  </si>
  <si>
    <t xml:space="preserve">VERIFIED
Y/N</t>
  </si>
  <si>
    <t xml:space="preserve">DEL-001</t>
  </si>
  <si>
    <t xml:space="preserve">6/3/2026</t>
  </si>
  <si>
    <t xml:space="preserve">Wed</t>
  </si>
  <si>
    <t xml:space="preserve">WEATHER</t>
  </si>
  <si>
    <t xml:space="preserve">C-1602-O-1B</t>
  </si>
  <si>
    <t xml:space="preserve">11:45</t>
  </si>
  <si>
    <t xml:space="preserve">~12:45</t>
  </si>
  <si>
    <t xml:space="preserve">WEATHER/CLIENT</t>
  </si>
  <si>
    <t xml:space="preserve">Rain delay started at 11:45 — ~60 min max. Leave rened (leave renewed).</t>
  </si>
  <si>
    <t xml:space="preserve">Stand-down, re-mobilize when clear</t>
  </si>
  <si>
    <t xml:space="preserve">Y</t>
  </si>
  <si>
    <t xml:space="preserve">DEL-002</t>
  </si>
  <si>
    <t xml:space="preserve">6/10/2026</t>
  </si>
  <si>
    <t xml:space="preserve">RIGGING</t>
  </si>
  <si>
    <t xml:space="preserve">ALL</t>
  </si>
  <si>
    <t xml:space="preserve">0:00</t>
  </si>
  <si>
    <t xml:space="preserve">BROCK/SAGCO</t>
  </si>
  <si>
    <t xml:space="preserve">Started rigging PO. Mobilization day — no production hours charged as delay.</t>
  </si>
  <si>
    <t xml:space="preserve">Rigging established, ready for production 6/11</t>
  </si>
  <si>
    <t xml:space="preserve">DEL-003</t>
  </si>
  <si>
    <t xml:space="preserve">6/11/2026</t>
  </si>
  <si>
    <t xml:space="preserve">Thu</t>
  </si>
  <si>
    <t xml:space="preserve">SAFETY</t>
  </si>
  <si>
    <t xml:space="preserve">16:00</t>
  </si>
  <si>
    <t xml:space="preserve">CLIENT/LYB</t>
  </si>
  <si>
    <t xml:space="preserve">Global Safety Day — full site stand-down. Zero production. All 4 men held all day.</t>
  </si>
  <si>
    <t xml:space="preserve">Resume production 6/12</t>
  </si>
  <si>
    <t xml:space="preserve">DEL-004</t>
  </si>
  <si>
    <t xml:space="preserve">6/12/2026</t>
  </si>
  <si>
    <t xml:space="preserve">Fri</t>
  </si>
  <si>
    <t xml:space="preserve">PERSONNEL</t>
  </si>
  <si>
    <t xml:space="preserve">BROCK/PM</t>
  </si>
  <si>
    <t xml:space="preserve">Audit — Andrews start date. Personnel documentation audit, production impact TBD.</t>
  </si>
  <si>
    <t xml:space="preserve">Confirm Andrews start date, update manpower log</t>
  </si>
  <si>
    <t xml:space="preserve">N</t>
  </si>
  <si>
    <t xml:space="preserve">DEL-005</t>
  </si>
  <si>
    <t xml:space="preserve">6/15/2026</t>
  </si>
  <si>
    <t xml:space="preserve">Sun</t>
  </si>
  <si>
    <t xml:space="preserve">14:30</t>
  </si>
  <si>
    <t xml:space="preserve">Rainout — cleared by 2:30 PM. Monday lost morning to weather.</t>
  </si>
  <si>
    <t xml:space="preserve">Resume afternoon shift after weather cleared</t>
  </si>
  <si>
    <t xml:space="preserve">DEL-006</t>
  </si>
  <si>
    <t xml:space="preserve">6/16/2026</t>
  </si>
  <si>
    <t xml:space="preserve">Mon</t>
  </si>
  <si>
    <t xml:space="preserve">8:00</t>
  </si>
  <si>
    <t xml:space="preserve">TBD</t>
  </si>
  <si>
    <t xml:space="preserve">Rainout at 8 AM. Duration unknown from notes — estimated 2 hrs minimum.</t>
  </si>
  <si>
    <t xml:space="preserve">Stand-down, weather monitor, re-mobilize</t>
  </si>
  <si>
    <t xml:space="preserve">TOTALS</t>
  </si>
  <si>
    <t xml:space="preserve">NOTE: Man-hrs lost = direct production time removed from RA scope. Use this table to challenge any overrun narrative — gross variance must be net of documented delay hours.</t>
  </si>
  <si>
    <t xml:space="preserve">DELAY SUMMARY — PO 4406147216 | LyondellBasell CC</t>
  </si>
  <si>
    <t xml:space="preserve">EVENTS</t>
  </si>
  <si>
    <t xml:space="preserve">TOTAL HRS LOST</t>
  </si>
  <si>
    <t xml:space="preserve">TOTAL MAN-HRS</t>
  </si>
  <si>
    <t xml:space="preserve">RESPONSIBLE</t>
  </si>
  <si>
    <t xml:space="preserve">NOTES</t>
  </si>
  <si>
    <t xml:space="preserve">DEL-001, DEL-005, DEL-006</t>
  </si>
  <si>
    <t xml:space="preserve">9.5 hrs / 38 man-hrs (est)</t>
  </si>
  <si>
    <t xml:space="preserve">Weather (uncontrolled)</t>
  </si>
  <si>
    <t xml:space="preserve">Morning rainouts + mid-day washout 6/3</t>
  </si>
  <si>
    <t xml:space="preserve">10.0 hrs / 40 man-hrs</t>
  </si>
  <si>
    <t xml:space="preserve">CLIENT — LYB Global Safety Day</t>
  </si>
  <si>
    <t xml:space="preserve">Full site stand-down, mandatory, zero production</t>
  </si>
  <si>
    <t xml:space="preserve">Andrews audit — impact TBD pending clarification</t>
  </si>
  <si>
    <t xml:space="preserve">Mob day, not charged as delay</t>
  </si>
  <si>
    <t xml:space="preserve">Rigging setup 6/10, no production clock running</t>
  </si>
  <si>
    <t xml:space="preserve">KEY FINDING: Documented delays = non-production time that must be subtracted before any 'overrun' calculation is valid.  Budget Balance ≠ Work Remaining.</t>
  </si>
  <si>
    <t xml:space="preserve">ACTION ITEM: 'Possible work Saturday' — If Saturday 6/21 approved for makeup, log as RECOVERY event and offset against total man-hrs lost.</t>
  </si>
  <si>
    <t xml:space="preserve">SAGCO DELAY ENTRY FORM</t>
  </si>
  <si>
    <t xml:space="preserve">CIRCUIT AFFECTED</t>
  </si>
  <si>
    <t xml:space="preserve">START TIME</t>
  </si>
  <si>
    <t xml:space="preserve">END TIME</t>
  </si>
  <si>
    <t xml:space="preserve">HRS LOST</t>
  </si>
  <si>
    <t xml:space="preserve">CREW SIZE</t>
  </si>
  <si>
    <t xml:space="preserve">MAN-HRS LOST</t>
  </si>
  <si>
    <t xml:space="preserve">RESPONSIBLE PARTY</t>
  </si>
  <si>
    <t xml:space="preserve">RECOVERY ACTION</t>
  </si>
  <si>
    <t xml:space="preserve">VERIFIED Y/N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</si>
</sst>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E8A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2E4E8A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C9A84C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C9A84C"/>
      <rgbColor rgb="FFED7D31"/>
      <rgbColor rgb="FF595959"/>
      <rgbColor rgb="FFAAAAAA"/>
      <rgbColor rgb="FF1F3864"/>
      <rgbColor rgb="FF00B050"/>
      <rgbColor rgb="FF003300"/>
      <rgbColor rgb="FF333300"/>
      <rgbColor rgb="FF993300"/>
      <rgbColor rgb="FF993366"/>
      <rgbColor rgb="FF2E4E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9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20"/>
    <col collapsed="false" customWidth="true" hidden="false" outlineLevel="0" max="14" min="14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9.75" hidden="false" customHeight="true" outlineLevel="0" collapsed="false">
      <c r="A4" s="4" t="s">
        <v>16</v>
      </c>
      <c r="B4" s="5" t="s">
        <v>17</v>
      </c>
      <c r="C4" s="5" t="s">
        <v>18</v>
      </c>
      <c r="D4" s="6" t="s">
        <v>19</v>
      </c>
      <c r="E4" s="5" t="s">
        <v>20</v>
      </c>
      <c r="F4" s="5" t="s">
        <v>21</v>
      </c>
      <c r="G4" s="5" t="s">
        <v>22</v>
      </c>
      <c r="H4" s="5" t="n">
        <v>1</v>
      </c>
      <c r="I4" s="5" t="n">
        <v>4</v>
      </c>
      <c r="J4" s="7" t="n">
        <f aca="false">H4*I4</f>
        <v>4</v>
      </c>
      <c r="K4" s="5" t="s">
        <v>23</v>
      </c>
      <c r="L4" s="8" t="s">
        <v>24</v>
      </c>
      <c r="M4" s="8" t="s">
        <v>25</v>
      </c>
      <c r="N4" s="9" t="s">
        <v>26</v>
      </c>
    </row>
    <row r="5" customFormat="false" ht="39.75" hidden="false" customHeight="true" outlineLevel="0" collapsed="false">
      <c r="A5" s="4" t="s">
        <v>27</v>
      </c>
      <c r="B5" s="5" t="s">
        <v>28</v>
      </c>
      <c r="C5" s="5" t="s">
        <v>18</v>
      </c>
      <c r="D5" s="10" t="s">
        <v>29</v>
      </c>
      <c r="E5" s="5" t="s">
        <v>30</v>
      </c>
      <c r="F5" s="5" t="s">
        <v>31</v>
      </c>
      <c r="G5" s="5" t="s">
        <v>31</v>
      </c>
      <c r="H5" s="5" t="n">
        <v>0</v>
      </c>
      <c r="I5" s="5" t="n">
        <v>4</v>
      </c>
      <c r="J5" s="7" t="n">
        <f aca="false">H5*I5</f>
        <v>0</v>
      </c>
      <c r="K5" s="5" t="s">
        <v>32</v>
      </c>
      <c r="L5" s="8" t="s">
        <v>33</v>
      </c>
      <c r="M5" s="8" t="s">
        <v>34</v>
      </c>
      <c r="N5" s="9" t="s">
        <v>26</v>
      </c>
    </row>
    <row r="6" customFormat="false" ht="39.75" hidden="false" customHeight="true" outlineLevel="0" collapsed="false">
      <c r="A6" s="4" t="s">
        <v>35</v>
      </c>
      <c r="B6" s="5" t="s">
        <v>36</v>
      </c>
      <c r="C6" s="5" t="s">
        <v>37</v>
      </c>
      <c r="D6" s="11" t="s">
        <v>38</v>
      </c>
      <c r="E6" s="5" t="s">
        <v>30</v>
      </c>
      <c r="F6" s="5" t="s">
        <v>31</v>
      </c>
      <c r="G6" s="5" t="s">
        <v>39</v>
      </c>
      <c r="H6" s="5" t="n">
        <v>10</v>
      </c>
      <c r="I6" s="5" t="n">
        <v>4</v>
      </c>
      <c r="J6" s="7" t="n">
        <f aca="false">H6*I6</f>
        <v>40</v>
      </c>
      <c r="K6" s="5" t="s">
        <v>40</v>
      </c>
      <c r="L6" s="8" t="s">
        <v>41</v>
      </c>
      <c r="M6" s="8" t="s">
        <v>42</v>
      </c>
      <c r="N6" s="9" t="s">
        <v>26</v>
      </c>
    </row>
    <row r="7" customFormat="false" ht="39.75" hidden="false" customHeight="true" outlineLevel="0" collapsed="false">
      <c r="A7" s="4" t="s">
        <v>43</v>
      </c>
      <c r="B7" s="5" t="s">
        <v>44</v>
      </c>
      <c r="C7" s="5" t="s">
        <v>45</v>
      </c>
      <c r="D7" s="12" t="s">
        <v>46</v>
      </c>
      <c r="E7" s="5" t="s">
        <v>30</v>
      </c>
      <c r="F7" s="5" t="s">
        <v>31</v>
      </c>
      <c r="G7" s="5" t="s">
        <v>31</v>
      </c>
      <c r="H7" s="5" t="n">
        <v>8</v>
      </c>
      <c r="I7" s="5" t="n">
        <v>4</v>
      </c>
      <c r="J7" s="7" t="n">
        <f aca="false">H7*I7</f>
        <v>32</v>
      </c>
      <c r="K7" s="5" t="s">
        <v>47</v>
      </c>
      <c r="L7" s="8" t="s">
        <v>48</v>
      </c>
      <c r="M7" s="8" t="s">
        <v>49</v>
      </c>
      <c r="N7" s="13" t="s">
        <v>50</v>
      </c>
    </row>
    <row r="8" customFormat="false" ht="39.75" hidden="false" customHeight="true" outlineLevel="0" collapsed="false">
      <c r="A8" s="4" t="s">
        <v>51</v>
      </c>
      <c r="B8" s="5" t="s">
        <v>52</v>
      </c>
      <c r="C8" s="5" t="s">
        <v>53</v>
      </c>
      <c r="D8" s="6" t="s">
        <v>19</v>
      </c>
      <c r="E8" s="5" t="s">
        <v>20</v>
      </c>
      <c r="F8" s="5" t="s">
        <v>31</v>
      </c>
      <c r="G8" s="5" t="s">
        <v>54</v>
      </c>
      <c r="H8" s="5" t="n">
        <v>6.5</v>
      </c>
      <c r="I8" s="5" t="n">
        <v>4</v>
      </c>
      <c r="J8" s="7" t="n">
        <f aca="false">H8*I8</f>
        <v>26</v>
      </c>
      <c r="K8" s="5" t="s">
        <v>19</v>
      </c>
      <c r="L8" s="8" t="s">
        <v>55</v>
      </c>
      <c r="M8" s="8" t="s">
        <v>56</v>
      </c>
      <c r="N8" s="9" t="s">
        <v>26</v>
      </c>
    </row>
    <row r="9" customFormat="false" ht="39.75" hidden="false" customHeight="true" outlineLevel="0" collapsed="false">
      <c r="A9" s="4" t="s">
        <v>57</v>
      </c>
      <c r="B9" s="5" t="s">
        <v>58</v>
      </c>
      <c r="C9" s="5" t="s">
        <v>59</v>
      </c>
      <c r="D9" s="6" t="s">
        <v>19</v>
      </c>
      <c r="E9" s="5" t="s">
        <v>20</v>
      </c>
      <c r="F9" s="5" t="s">
        <v>60</v>
      </c>
      <c r="G9" s="5" t="s">
        <v>61</v>
      </c>
      <c r="H9" s="5" t="n">
        <v>2</v>
      </c>
      <c r="I9" s="5" t="n">
        <v>4</v>
      </c>
      <c r="J9" s="7" t="n">
        <f aca="false">H9*I9</f>
        <v>8</v>
      </c>
      <c r="K9" s="5" t="s">
        <v>19</v>
      </c>
      <c r="L9" s="8" t="s">
        <v>62</v>
      </c>
      <c r="M9" s="8" t="s">
        <v>63</v>
      </c>
      <c r="N9" s="13" t="s">
        <v>50</v>
      </c>
    </row>
    <row r="10" customFormat="false" ht="15" hidden="false" customHeight="false" outlineLevel="0" collapsed="false">
      <c r="A10" s="14" t="s">
        <v>64</v>
      </c>
      <c r="B10" s="14"/>
      <c r="C10" s="14"/>
      <c r="D10" s="14"/>
      <c r="E10" s="14"/>
      <c r="F10" s="14"/>
      <c r="G10" s="14"/>
      <c r="H10" s="15" t="n">
        <f aca="false">SUM(H4:H9)</f>
        <v>27.5</v>
      </c>
      <c r="J10" s="15" t="n">
        <f aca="false">SUM(J4:J9)</f>
        <v>110</v>
      </c>
    </row>
    <row r="11" customFormat="false" ht="30" hidden="false" customHeight="true" outlineLevel="0" collapsed="false">
      <c r="A11" s="16" t="s">
        <v>65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</sheetData>
  <mergeCells count="4">
    <mergeCell ref="A1:N1"/>
    <mergeCell ref="A2:N2"/>
    <mergeCell ref="A10:G10"/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66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3" t="s">
        <v>5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</row>
    <row r="4" customFormat="false" ht="30" hidden="false" customHeight="true" outlineLevel="0" collapsed="false">
      <c r="A4" s="6" t="s">
        <v>19</v>
      </c>
      <c r="B4" s="5" t="n">
        <v>3</v>
      </c>
      <c r="C4" s="5" t="s">
        <v>72</v>
      </c>
      <c r="D4" s="5" t="s">
        <v>73</v>
      </c>
      <c r="E4" s="5" t="s">
        <v>74</v>
      </c>
      <c r="F4" s="8" t="s">
        <v>75</v>
      </c>
    </row>
    <row r="5" customFormat="false" ht="30" hidden="false" customHeight="true" outlineLevel="0" collapsed="false">
      <c r="A5" s="11" t="s">
        <v>38</v>
      </c>
      <c r="B5" s="5" t="n">
        <v>1</v>
      </c>
      <c r="C5" s="5" t="s">
        <v>35</v>
      </c>
      <c r="D5" s="5" t="s">
        <v>76</v>
      </c>
      <c r="E5" s="5" t="s">
        <v>77</v>
      </c>
      <c r="F5" s="8" t="s">
        <v>78</v>
      </c>
    </row>
    <row r="6" customFormat="false" ht="30" hidden="false" customHeight="true" outlineLevel="0" collapsed="false">
      <c r="A6" s="12" t="s">
        <v>46</v>
      </c>
      <c r="B6" s="5" t="n">
        <v>1</v>
      </c>
      <c r="C6" s="5" t="s">
        <v>43</v>
      </c>
      <c r="D6" s="5" t="s">
        <v>61</v>
      </c>
      <c r="E6" s="5" t="s">
        <v>47</v>
      </c>
      <c r="F6" s="8" t="s">
        <v>79</v>
      </c>
    </row>
    <row r="7" customFormat="false" ht="30" hidden="false" customHeight="true" outlineLevel="0" collapsed="false">
      <c r="A7" s="10" t="s">
        <v>29</v>
      </c>
      <c r="B7" s="5" t="n">
        <v>1</v>
      </c>
      <c r="C7" s="5" t="s">
        <v>27</v>
      </c>
      <c r="D7" s="5" t="s">
        <v>80</v>
      </c>
      <c r="E7" s="5" t="s">
        <v>32</v>
      </c>
      <c r="F7" s="8" t="s">
        <v>81</v>
      </c>
    </row>
    <row r="9" customFormat="false" ht="36" hidden="false" customHeight="true" outlineLevel="0" collapsed="false">
      <c r="A9" s="17" t="s">
        <v>82</v>
      </c>
      <c r="B9" s="17"/>
      <c r="C9" s="17"/>
      <c r="D9" s="17"/>
      <c r="E9" s="17"/>
      <c r="F9" s="17"/>
    </row>
    <row r="11" customFormat="false" ht="30" hidden="false" customHeight="true" outlineLevel="0" collapsed="false">
      <c r="A11" s="16" t="s">
        <v>83</v>
      </c>
      <c r="B11" s="16"/>
      <c r="C11" s="16"/>
      <c r="D11" s="16"/>
      <c r="E11" s="16"/>
      <c r="F11" s="16"/>
    </row>
  </sheetData>
  <mergeCells count="3">
    <mergeCell ref="A1:F1"/>
    <mergeCell ref="A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</cols>
  <sheetData>
    <row r="1" customFormat="false" ht="24" hidden="false" customHeight="true" outlineLevel="0" collapsed="false">
      <c r="A1" s="18" t="s">
        <v>84</v>
      </c>
      <c r="B1" s="18"/>
    </row>
    <row r="3" customFormat="false" ht="21.75" hidden="false" customHeight="true" outlineLevel="0" collapsed="false">
      <c r="A3" s="19" t="s">
        <v>2</v>
      </c>
      <c r="B3" s="20"/>
    </row>
    <row r="4" customFormat="false" ht="21.75" hidden="false" customHeight="true" outlineLevel="0" collapsed="false">
      <c r="A4" s="19" t="s">
        <v>3</v>
      </c>
      <c r="B4" s="20"/>
    </row>
    <row r="5" customFormat="false" ht="21.75" hidden="false" customHeight="true" outlineLevel="0" collapsed="false">
      <c r="A5" s="19" t="s">
        <v>4</v>
      </c>
      <c r="B5" s="20"/>
    </row>
    <row r="6" customFormat="false" ht="21.75" hidden="false" customHeight="true" outlineLevel="0" collapsed="false">
      <c r="A6" s="19" t="s">
        <v>5</v>
      </c>
      <c r="B6" s="20"/>
    </row>
    <row r="7" customFormat="false" ht="21.75" hidden="false" customHeight="true" outlineLevel="0" collapsed="false">
      <c r="A7" s="19" t="s">
        <v>85</v>
      </c>
      <c r="B7" s="20"/>
    </row>
    <row r="8" customFormat="false" ht="21.75" hidden="false" customHeight="true" outlineLevel="0" collapsed="false">
      <c r="A8" s="19" t="s">
        <v>86</v>
      </c>
      <c r="B8" s="20"/>
    </row>
    <row r="9" customFormat="false" ht="21.75" hidden="false" customHeight="true" outlineLevel="0" collapsed="false">
      <c r="A9" s="19" t="s">
        <v>87</v>
      </c>
      <c r="B9" s="20"/>
    </row>
    <row r="10" customFormat="false" ht="21.75" hidden="false" customHeight="true" outlineLevel="0" collapsed="false">
      <c r="A10" s="19" t="s">
        <v>88</v>
      </c>
      <c r="B10" s="20"/>
    </row>
    <row r="11" customFormat="false" ht="21.75" hidden="false" customHeight="true" outlineLevel="0" collapsed="false">
      <c r="A11" s="19" t="s">
        <v>89</v>
      </c>
      <c r="B11" s="20"/>
    </row>
    <row r="12" customFormat="false" ht="21.75" hidden="false" customHeight="true" outlineLevel="0" collapsed="false">
      <c r="A12" s="19" t="s">
        <v>90</v>
      </c>
      <c r="B12" s="20"/>
    </row>
    <row r="13" customFormat="false" ht="21.75" hidden="false" customHeight="true" outlineLevel="0" collapsed="false">
      <c r="A13" s="19" t="s">
        <v>91</v>
      </c>
      <c r="B13" s="20"/>
    </row>
    <row r="14" customFormat="false" ht="21.75" hidden="false" customHeight="true" outlineLevel="0" collapsed="false">
      <c r="A14" s="19" t="s">
        <v>13</v>
      </c>
      <c r="B14" s="20"/>
    </row>
    <row r="15" customFormat="false" ht="21.75" hidden="false" customHeight="true" outlineLevel="0" collapsed="false">
      <c r="A15" s="19" t="s">
        <v>92</v>
      </c>
      <c r="B15" s="20"/>
    </row>
    <row r="16" customFormat="false" ht="21.75" hidden="false" customHeight="true" outlineLevel="0" collapsed="false">
      <c r="A16" s="19" t="s">
        <v>93</v>
      </c>
      <c r="B16" s="2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2026-06-23T14:55:36Z</dcterms:created>
  <dc:creator>openpyxl</dc:creator>
  <dc:description/>
  <dc:language>en-US</dc:language>
  <cp:lastModifiedBy/>
  <dcterms:modified xsi:type="dcterms:W3CDTF">2026-06-23T14:55:36Z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