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PS COMPASS" sheetId="1" state="visible" r:id="rId3"/>
    <sheet name="SENSOR ARRAY" sheetId="2" state="visible" r:id="rId4"/>
    <sheet name="FIELD BIAS VERDIC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<sst xmlns="http://schemas.openxmlformats.org/spreadsheetml/2006/main" count="178" uniqueCount="103">
  <si>
    <t xml:space="preserve">SAGCO-SENSOR-001 | GPS COMPASS SNAPSHOT | Z Fold Field Node | 2026-06-16 08:45</t>
  </si>
  <si>
    <t xml:space="preserve">PARAMETER</t>
  </si>
  <si>
    <t xml:space="preserve">RAW VALUE</t>
  </si>
  <si>
    <t xml:space="preserve">COMPUTED</t>
  </si>
  <si>
    <t xml:space="preserve">STATUS</t>
  </si>
  <si>
    <t xml:space="preserve">▶  COMPASS</t>
  </si>
  <si>
    <t xml:space="preserve">Magnetic Bearing</t>
  </si>
  <si>
    <t xml:space="preserve">104</t>
  </si>
  <si>
    <t xml:space="preserve">°E</t>
  </si>
  <si>
    <t xml:space="preserve">LOCKED</t>
  </si>
  <si>
    <t xml:space="preserve">True Bearing</t>
  </si>
  <si>
    <t xml:space="preserve">102</t>
  </si>
  <si>
    <t xml:space="preserve">Magnetic Field Str</t>
  </si>
  <si>
    <t xml:space="preserve">76</t>
  </si>
  <si>
    <t xml:space="preserve">μT</t>
  </si>
  <si>
    <t xml:space="preserve">NORMAL</t>
  </si>
  <si>
    <t xml:space="preserve">▶  GPS POSITION</t>
  </si>
  <si>
    <t xml:space="preserve">Latitude  (DMS)</t>
  </si>
  <si>
    <t xml:space="preserve">27°50'48.28"N</t>
  </si>
  <si>
    <t xml:space="preserve">VALID</t>
  </si>
  <si>
    <t xml:space="preserve">Longitude (DMS)</t>
  </si>
  <si>
    <t xml:space="preserve">97°33'58.57"W</t>
  </si>
  <si>
    <t xml:space="preserve">Lat (Decimal)</t>
  </si>
  <si>
    <t xml:space="preserve">27.846744</t>
  </si>
  <si>
    <t xml:space="preserve">°N</t>
  </si>
  <si>
    <t xml:space="preserve">Lon (Decimal)</t>
  </si>
  <si>
    <t xml:space="preserve">-97.566269</t>
  </si>
  <si>
    <t xml:space="preserve">°W</t>
  </si>
  <si>
    <t xml:space="preserve">Altitude</t>
  </si>
  <si>
    <t xml:space="preserve">66</t>
  </si>
  <si>
    <t xml:space="preserve">ft</t>
  </si>
  <si>
    <t xml:space="preserve">▶  DMS DECOMPOSITION ENGINE — Latitude</t>
  </si>
  <si>
    <t xml:space="preserve">Decimal Input</t>
  </si>
  <si>
    <t xml:space="preserve">Degrees °</t>
  </si>
  <si>
    <t xml:space="preserve">Minutes '</t>
  </si>
  <si>
    <t xml:space="preserve">Seconds "</t>
  </si>
  <si>
    <t xml:space="preserve">DMS String</t>
  </si>
  <si>
    <t xml:space="preserve">27° 50' 48.28" N</t>
  </si>
  <si>
    <t xml:space="preserve">SAGCO-SENSOR-001 | SENSOR ARRAY | Z Fold Galaxy | 2026-06-16 08:45</t>
  </si>
  <si>
    <t xml:space="preserve">SENSOR</t>
  </si>
  <si>
    <t xml:space="preserve">AXIS</t>
  </si>
  <si>
    <t xml:space="preserve">VALUE</t>
  </si>
  <si>
    <t xml:space="preserve">UNIT</t>
  </si>
  <si>
    <t xml:space="preserve">MAGNITUDE</t>
  </si>
  <si>
    <t xml:space="preserve">NORM %</t>
  </si>
  <si>
    <t xml:space="preserve">DELTA X→Y</t>
  </si>
  <si>
    <t xml:space="preserve">VECTOR STR</t>
  </si>
  <si>
    <t xml:space="preserve">AZIMUTH°</t>
  </si>
  <si>
    <t xml:space="preserve">BIAS FLAG</t>
  </si>
  <si>
    <t xml:space="preserve">Q-POINT</t>
  </si>
  <si>
    <t xml:space="preserve">Accelerometer</t>
  </si>
  <si>
    <t xml:space="preserve">X</t>
  </si>
  <si>
    <t xml:space="preserve">m/s²</t>
  </si>
  <si>
    <t xml:space="preserve">—</t>
  </si>
  <si>
    <t xml:space="preserve">Y</t>
  </si>
  <si>
    <t xml:space="preserve">Z</t>
  </si>
  <si>
    <t xml:space="preserve">Gravity</t>
  </si>
  <si>
    <t xml:space="preserve">Gyroscope</t>
  </si>
  <si>
    <t xml:space="preserve">rad/s</t>
  </si>
  <si>
    <t xml:space="preserve">Linear Accel</t>
  </si>
  <si>
    <t xml:space="preserve">Magnetic Field</t>
  </si>
  <si>
    <t xml:space="preserve">Orientation</t>
  </si>
  <si>
    <t xml:space="preserve">°</t>
  </si>
  <si>
    <t xml:space="preserve">Pressure</t>
  </si>
  <si>
    <t xml:space="preserve">inHg</t>
  </si>
  <si>
    <t xml:space="preserve">Light</t>
  </si>
  <si>
    <t xml:space="preserve">lux</t>
  </si>
  <si>
    <t xml:space="preserve">Proximity</t>
  </si>
  <si>
    <t xml:space="preserve">cm</t>
  </si>
  <si>
    <t xml:space="preserve">▶  VECTOR MAGNITUDE SUMMARY</t>
  </si>
  <si>
    <t xml:space="preserve">Accel Magnitude</t>
  </si>
  <si>
    <t xml:space="preserve">Gravity Magnitude</t>
  </si>
  <si>
    <t xml:space="preserve">Gyro Magnitude</t>
  </si>
  <si>
    <t xml:space="preserve">Linear Accel Mag</t>
  </si>
  <si>
    <t xml:space="preserve">Mag Field Mag</t>
  </si>
  <si>
    <t xml:space="preserve">Orientation Mag</t>
  </si>
  <si>
    <t xml:space="preserve">SAGCO-SENSOR-001 | FIELD BIAS VERDICT | Node: Z Fold Galaxy | Bearing 104°E</t>
  </si>
  <si>
    <t xml:space="preserve">Sensor node bias analysis — is the field node correctly positioned and calibrated?</t>
  </si>
  <si>
    <t xml:space="preserve">EXPECTED</t>
  </si>
  <si>
    <t xml:space="preserve">ACTUAL MAG</t>
  </si>
  <si>
    <t xml:space="preserve">VARIANCE</t>
  </si>
  <si>
    <t xml:space="preserve">COVERAGE %</t>
  </si>
  <si>
    <t xml:space="preserve">VERDICT</t>
  </si>
  <si>
    <t xml:space="preserve">NODE ROLE</t>
  </si>
  <si>
    <t xml:space="preserve">NOTES</t>
  </si>
  <si>
    <t xml:space="preserve">FIELD GRAVITY</t>
  </si>
  <si>
    <t xml:space="preserve">Device is tilted ~34° — rope access position</t>
  </si>
  <si>
    <t xml:space="preserve">PRIMARY NODE</t>
  </si>
  <si>
    <t xml:space="preserve">Near Earth standard — node stable</t>
  </si>
  <si>
    <t xml:space="preserve">RECON NODE</t>
  </si>
  <si>
    <t xml:space="preserve">Minor rotation — device in hand</t>
  </si>
  <si>
    <t xml:space="preserve">MOTION</t>
  </si>
  <si>
    <t xml:space="preserve">Movement detected on Y/Z axis</t>
  </si>
  <si>
    <t xml:space="preserve">FIELD STRONG</t>
  </si>
  <si>
    <t xml:space="preserve">76μT — near metal/pipe — expected at refinery</t>
  </si>
  <si>
    <t xml:space="preserve">BEARING NODE</t>
  </si>
  <si>
    <t xml:space="preserve">104°E compass — SE heading confirmed</t>
  </si>
  <si>
    <t xml:space="preserve">WEATHER NODE</t>
  </si>
  <si>
    <t xml:space="preserve">29.7 inHg — slightly low, clear conditions</t>
  </si>
  <si>
    <t xml:space="preserve">INDOOR/SHADOW</t>
  </si>
  <si>
    <t xml:space="preserve">134 lux — shaded or early morning</t>
  </si>
  <si>
    <t xml:space="preserve">OBJECT NEAR</t>
  </si>
  <si>
    <t xml:space="preserve">5cm — pocket or holster proximity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</si>
</sst>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E5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sz val="10"/>
      <color rgb="FFCCCCCC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00FF88"/>
      <name val="Arial"/>
      <family val="0"/>
      <charset val="1"/>
    </font>
    <font>
      <sz val="10"/>
      <color rgb="FFFFD700"/>
      <name val="Arial"/>
      <family val="0"/>
      <charset val="1"/>
    </font>
    <font>
      <b val="true"/>
      <sz val="10"/>
      <color rgb="FFBB86FC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sz val="10"/>
      <color rgb="FF00E5FF"/>
      <name val="Arial"/>
      <family val="0"/>
      <charset val="1"/>
    </font>
    <font>
      <sz val="10"/>
      <color rgb="FF333355"/>
      <name val="Arial"/>
      <family val="0"/>
      <charset val="1"/>
    </font>
    <font>
      <sz val="10"/>
      <color rgb="FFBB86FC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FF4444"/>
      <name val="Arial"/>
      <family val="0"/>
      <charset val="1"/>
    </font>
    <font>
      <sz val="10"/>
      <color rgb="FFFF8C00"/>
      <name val="Arial"/>
      <family val="0"/>
      <charset val="1"/>
    </font>
    <font>
      <i val="true"/>
      <sz val="9"/>
      <color rgb="FFFFD7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0A3622"/>
        <bgColor rgb="FF16213E"/>
      </patternFill>
    </fill>
    <fill>
      <patternFill patternType="solid">
        <fgColor rgb="FF3D1A00"/>
        <bgColor rgb="FF3D0000"/>
      </patternFill>
    </fill>
    <fill>
      <patternFill patternType="solid">
        <fgColor rgb="FF16213E"/>
        <bgColor rgb="FF1A1A2E"/>
      </patternFill>
    </fill>
    <fill>
      <patternFill patternType="solid">
        <fgColor rgb="FF533483"/>
        <bgColor rgb="FF333355"/>
      </patternFill>
    </fill>
    <fill>
      <patternFill patternType="solid">
        <fgColor rgb="FF3D0000"/>
        <bgColor rgb="FF3D1A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3D0000"/>
      <rgbColor rgb="FF008000"/>
      <rgbColor rgb="FF16213E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BB86FC"/>
      <rgbColor rgb="FFFFCC99"/>
      <rgbColor rgb="FF3366FF"/>
      <rgbColor rgb="FF33CCCC"/>
      <rgbColor rgb="FF99CC00"/>
      <rgbColor rgb="FFFFD700"/>
      <rgbColor rgb="FFFF8C00"/>
      <rgbColor rgb="FFFF4444"/>
      <rgbColor rgb="FF444444"/>
      <rgbColor rgb="FF969696"/>
      <rgbColor rgb="FF0F3460"/>
      <rgbColor rgb="FF339966"/>
      <rgbColor rgb="FF0A3622"/>
      <rgbColor rgb="FF3D1A00"/>
      <rgbColor rgb="FF993300"/>
      <rgbColor rgb="FF993366"/>
      <rgbColor rgb="FF533483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10"/>
    <col collapsed="false" customWidth="true" hidden="false" outlineLevel="0" max="6" min="6" style="1" width="6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10" min="9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3" t="s">
        <v>1</v>
      </c>
      <c r="B2" s="3"/>
      <c r="C2" s="3"/>
      <c r="D2" s="4" t="s">
        <v>2</v>
      </c>
      <c r="E2" s="4"/>
      <c r="F2" s="4"/>
      <c r="G2" s="5" t="s">
        <v>3</v>
      </c>
      <c r="H2" s="5"/>
      <c r="I2" s="6" t="s">
        <v>4</v>
      </c>
      <c r="J2" s="6"/>
    </row>
    <row r="3" customFormat="false" ht="15" hidden="false" customHeight="true" outlineLevel="0" collapsed="false">
      <c r="A3" s="7" t="s">
        <v>5</v>
      </c>
      <c r="B3" s="7"/>
      <c r="C3" s="7"/>
      <c r="D3" s="7"/>
      <c r="E3" s="7"/>
      <c r="F3" s="7"/>
      <c r="G3" s="7"/>
      <c r="H3" s="7"/>
      <c r="I3" s="7"/>
      <c r="J3" s="7"/>
    </row>
    <row r="4" customFormat="false" ht="15" hidden="false" customHeight="true" outlineLevel="0" collapsed="false">
      <c r="A4" s="8" t="s">
        <v>6</v>
      </c>
      <c r="B4" s="8"/>
      <c r="C4" s="8"/>
      <c r="D4" s="9" t="s">
        <v>7</v>
      </c>
      <c r="E4" s="9"/>
      <c r="F4" s="10" t="s">
        <v>8</v>
      </c>
      <c r="G4" s="11" t="str">
        <f aca="false">D4&amp;" "&amp;E4</f>
        <v>104 </v>
      </c>
      <c r="H4" s="11"/>
      <c r="I4" s="11" t="s">
        <v>9</v>
      </c>
      <c r="J4" s="11"/>
    </row>
    <row r="5" customFormat="false" ht="15" hidden="false" customHeight="true" outlineLevel="0" collapsed="false">
      <c r="A5" s="8" t="s">
        <v>10</v>
      </c>
      <c r="B5" s="8"/>
      <c r="C5" s="8"/>
      <c r="D5" s="9" t="s">
        <v>11</v>
      </c>
      <c r="E5" s="9"/>
      <c r="F5" s="10" t="s">
        <v>8</v>
      </c>
      <c r="G5" s="11" t="str">
        <f aca="false">D5&amp;" "&amp;E5</f>
        <v>102 </v>
      </c>
      <c r="H5" s="11"/>
      <c r="I5" s="11" t="s">
        <v>9</v>
      </c>
      <c r="J5" s="11"/>
    </row>
    <row r="6" customFormat="false" ht="15" hidden="false" customHeight="true" outlineLevel="0" collapsed="false">
      <c r="A6" s="8" t="s">
        <v>12</v>
      </c>
      <c r="B6" s="8"/>
      <c r="C6" s="8"/>
      <c r="D6" s="9" t="s">
        <v>13</v>
      </c>
      <c r="E6" s="9"/>
      <c r="F6" s="10" t="s">
        <v>14</v>
      </c>
      <c r="G6" s="11" t="str">
        <f aca="false">D6&amp;" "&amp;E6</f>
        <v>76 </v>
      </c>
      <c r="H6" s="11"/>
      <c r="I6" s="11" t="s">
        <v>15</v>
      </c>
      <c r="J6" s="11"/>
    </row>
    <row r="7" customFormat="false" ht="15" hidden="false" customHeight="true" outlineLevel="0" collapsed="false">
      <c r="A7" s="7" t="s">
        <v>16</v>
      </c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true" outlineLevel="0" collapsed="false">
      <c r="A8" s="8" t="s">
        <v>17</v>
      </c>
      <c r="B8" s="8"/>
      <c r="C8" s="8"/>
      <c r="D8" s="9" t="s">
        <v>18</v>
      </c>
      <c r="E8" s="9"/>
      <c r="F8" s="10"/>
      <c r="G8" s="11" t="str">
        <f aca="false">D8</f>
        <v>27°50'48.28"N</v>
      </c>
      <c r="H8" s="11"/>
      <c r="I8" s="11" t="s">
        <v>19</v>
      </c>
      <c r="J8" s="11"/>
    </row>
    <row r="9" customFormat="false" ht="15" hidden="false" customHeight="true" outlineLevel="0" collapsed="false">
      <c r="A9" s="8" t="s">
        <v>20</v>
      </c>
      <c r="B9" s="8"/>
      <c r="C9" s="8"/>
      <c r="D9" s="9" t="s">
        <v>21</v>
      </c>
      <c r="E9" s="9"/>
      <c r="F9" s="10"/>
      <c r="G9" s="11" t="str">
        <f aca="false">D9</f>
        <v>97°33'58.57"W</v>
      </c>
      <c r="H9" s="11"/>
      <c r="I9" s="11" t="s">
        <v>19</v>
      </c>
      <c r="J9" s="11"/>
    </row>
    <row r="10" customFormat="false" ht="15" hidden="false" customHeight="true" outlineLevel="0" collapsed="false">
      <c r="A10" s="8" t="s">
        <v>22</v>
      </c>
      <c r="B10" s="8"/>
      <c r="C10" s="8"/>
      <c r="D10" s="9" t="s">
        <v>23</v>
      </c>
      <c r="E10" s="9"/>
      <c r="F10" s="10" t="s">
        <v>24</v>
      </c>
      <c r="G10" s="11" t="n">
        <f aca="false">VALUE(D10)</f>
        <v>27.846744</v>
      </c>
      <c r="H10" s="11"/>
      <c r="I10" s="11" t="s">
        <v>3</v>
      </c>
      <c r="J10" s="11"/>
    </row>
    <row r="11" customFormat="false" ht="15" hidden="false" customHeight="true" outlineLevel="0" collapsed="false">
      <c r="A11" s="8" t="s">
        <v>25</v>
      </c>
      <c r="B11" s="8"/>
      <c r="C11" s="8"/>
      <c r="D11" s="9" t="s">
        <v>26</v>
      </c>
      <c r="E11" s="9"/>
      <c r="F11" s="10" t="s">
        <v>27</v>
      </c>
      <c r="G11" s="11" t="n">
        <f aca="false">VALUE(D11)</f>
        <v>-97.566269</v>
      </c>
      <c r="H11" s="11"/>
      <c r="I11" s="11" t="s">
        <v>3</v>
      </c>
      <c r="J11" s="11"/>
    </row>
    <row r="12" customFormat="false" ht="15" hidden="false" customHeight="true" outlineLevel="0" collapsed="false">
      <c r="A12" s="8" t="s">
        <v>28</v>
      </c>
      <c r="B12" s="8"/>
      <c r="C12" s="8"/>
      <c r="D12" s="9" t="s">
        <v>29</v>
      </c>
      <c r="E12" s="9"/>
      <c r="F12" s="10" t="s">
        <v>30</v>
      </c>
      <c r="G12" s="11" t="str">
        <f aca="false">D12&amp;" ft"</f>
        <v>66 ft</v>
      </c>
      <c r="H12" s="11"/>
      <c r="I12" s="11" t="s">
        <v>9</v>
      </c>
      <c r="J12" s="11"/>
    </row>
    <row r="13" customFormat="false" ht="15" hidden="false" customHeight="true" outlineLevel="0" collapsed="false">
      <c r="A13" s="7" t="s">
        <v>31</v>
      </c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true" outlineLevel="0" collapsed="false">
      <c r="A14" s="8" t="s">
        <v>32</v>
      </c>
      <c r="B14" s="8"/>
      <c r="C14" s="8"/>
      <c r="D14" s="9" t="n">
        <v>27.846744</v>
      </c>
      <c r="E14" s="9"/>
    </row>
    <row r="15" customFormat="false" ht="15" hidden="false" customHeight="true" outlineLevel="0" collapsed="false">
      <c r="A15" s="8" t="s">
        <v>33</v>
      </c>
      <c r="B15" s="8"/>
      <c r="C15" s="8"/>
      <c r="D15" s="12" t="n">
        <f aca="false">INT(D14)</f>
        <v>27</v>
      </c>
      <c r="E15" s="12"/>
    </row>
    <row r="16" customFormat="false" ht="15" hidden="false" customHeight="true" outlineLevel="0" collapsed="false">
      <c r="A16" s="8" t="s">
        <v>34</v>
      </c>
      <c r="B16" s="8"/>
      <c r="C16" s="8"/>
      <c r="D16" s="12" t="n">
        <f aca="false">INT((D14-INT(D14))*60)</f>
        <v>50</v>
      </c>
      <c r="E16" s="12"/>
    </row>
    <row r="17" customFormat="false" ht="15" hidden="false" customHeight="true" outlineLevel="0" collapsed="false">
      <c r="A17" s="8" t="s">
        <v>35</v>
      </c>
      <c r="B17" s="8"/>
      <c r="C17" s="8"/>
      <c r="D17" s="12" t="n">
        <f aca="false">ROUND((((D14-INT(D14))*60)-INT((D14-INT(D14))*60))*60,2)</f>
        <v>48.28</v>
      </c>
      <c r="E17" s="12"/>
    </row>
    <row r="18" customFormat="false" ht="15" hidden="false" customHeight="true" outlineLevel="0" collapsed="false">
      <c r="A18" s="8" t="s">
        <v>36</v>
      </c>
      <c r="B18" s="8"/>
      <c r="C18" s="8"/>
      <c r="D18" s="11" t="s">
        <v>37</v>
      </c>
      <c r="E18" s="11"/>
      <c r="F18" s="11"/>
      <c r="G18" s="11"/>
      <c r="H18" s="11"/>
      <c r="I18" s="11"/>
      <c r="J18" s="11"/>
    </row>
  </sheetData>
  <mergeCells count="50">
    <mergeCell ref="A1:J1"/>
    <mergeCell ref="A2:C2"/>
    <mergeCell ref="D2:F2"/>
    <mergeCell ref="G2:H2"/>
    <mergeCell ref="I2:J2"/>
    <mergeCell ref="A3:J3"/>
    <mergeCell ref="A4:C4"/>
    <mergeCell ref="D4:E4"/>
    <mergeCell ref="G4:H4"/>
    <mergeCell ref="I4:J4"/>
    <mergeCell ref="A5:C5"/>
    <mergeCell ref="D5:E5"/>
    <mergeCell ref="G5:H5"/>
    <mergeCell ref="I5:J5"/>
    <mergeCell ref="A6:C6"/>
    <mergeCell ref="D6:E6"/>
    <mergeCell ref="G6:H6"/>
    <mergeCell ref="I6:J6"/>
    <mergeCell ref="A7:J7"/>
    <mergeCell ref="A8:C8"/>
    <mergeCell ref="D8:E8"/>
    <mergeCell ref="G8:H8"/>
    <mergeCell ref="I8:J8"/>
    <mergeCell ref="A9:C9"/>
    <mergeCell ref="D9:E9"/>
    <mergeCell ref="G9:H9"/>
    <mergeCell ref="I9:J9"/>
    <mergeCell ref="A10:C10"/>
    <mergeCell ref="D10:E10"/>
    <mergeCell ref="G10:H10"/>
    <mergeCell ref="I10:J10"/>
    <mergeCell ref="A11:C11"/>
    <mergeCell ref="D11:E11"/>
    <mergeCell ref="G11:H11"/>
    <mergeCell ref="I11:J11"/>
    <mergeCell ref="A12:C12"/>
    <mergeCell ref="D12:E12"/>
    <mergeCell ref="G12:H12"/>
    <mergeCell ref="I12:J12"/>
    <mergeCell ref="A13:J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6"/>
    <col collapsed="false" customWidth="true" hidden="false" outlineLevel="0" max="3" min="3" style="1" width="9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13" t="s">
        <v>39</v>
      </c>
      <c r="B2" s="13" t="s">
        <v>40</v>
      </c>
      <c r="C2" s="14" t="s">
        <v>41</v>
      </c>
      <c r="D2" s="14" t="s">
        <v>42</v>
      </c>
      <c r="E2" s="15" t="s">
        <v>43</v>
      </c>
      <c r="F2" s="15" t="s">
        <v>44</v>
      </c>
      <c r="G2" s="16" t="s">
        <v>45</v>
      </c>
      <c r="H2" s="16" t="s">
        <v>46</v>
      </c>
      <c r="I2" s="17" t="s">
        <v>47</v>
      </c>
      <c r="J2" s="18" t="s">
        <v>48</v>
      </c>
      <c r="K2" s="19" t="s">
        <v>49</v>
      </c>
      <c r="L2" s="19" t="s">
        <v>4</v>
      </c>
    </row>
    <row r="3" customFormat="false" ht="15.75" hidden="false" customHeight="true" outlineLevel="0" collapsed="false">
      <c r="A3" s="20" t="s">
        <v>50</v>
      </c>
      <c r="B3" s="21" t="s">
        <v>51</v>
      </c>
      <c r="C3" s="22" t="n">
        <v>0.16</v>
      </c>
      <c r="D3" s="10" t="s">
        <v>52</v>
      </c>
      <c r="E3" s="23" t="n">
        <f aca="false">ABS(C3)</f>
        <v>0.16</v>
      </c>
      <c r="F3" s="24" t="n">
        <v>9.81</v>
      </c>
      <c r="G3" s="25" t="n">
        <f aca="false">IFERROR(ABS(C3)/F3*100,0)</f>
        <v>1.63098878695209</v>
      </c>
      <c r="H3" s="25" t="n">
        <f aca="false">IFERROR(SQRT(C3^2),0)</f>
        <v>0.16</v>
      </c>
      <c r="I3" s="26" t="s">
        <v>53</v>
      </c>
      <c r="J3" s="27" t="str">
        <f aca="false">IF(C3&lt;0,"NEG BIAS",IF(ABS(C3)&gt;F3*0.8,"HIGH","NEUTRAL"))</f>
        <v>NEUTRAL</v>
      </c>
      <c r="K3" s="28" t="n">
        <f aca="false">IFERROR(ABS(C3)/F3,0)</f>
        <v>0.0163098878695209</v>
      </c>
      <c r="L3" s="23" t="str">
        <f aca="false">IF(K3&gt;=0.8,"🔴 SATURATED",IF(K3&gt;=0.4,"🟢 ACTIVE",IF(K3&gt;0,"🔶 LOW","⛔ ZERO")))</f>
        <v>🔶 LOW</v>
      </c>
    </row>
    <row r="4" customFormat="false" ht="15.75" hidden="false" customHeight="true" outlineLevel="0" collapsed="false">
      <c r="A4" s="20"/>
      <c r="B4" s="21" t="s">
        <v>54</v>
      </c>
      <c r="C4" s="22" t="n">
        <v>4.06</v>
      </c>
      <c r="D4" s="10" t="s">
        <v>52</v>
      </c>
      <c r="E4" s="23" t="n">
        <f aca="false">ABS(C4)</f>
        <v>4.06</v>
      </c>
      <c r="F4" s="24" t="n">
        <v>9.81</v>
      </c>
      <c r="G4" s="25" t="n">
        <f aca="false">IFERROR(ABS(C4)/F4*100,0)</f>
        <v>41.3863404689093</v>
      </c>
      <c r="H4" s="25" t="n">
        <f aca="false">IFERROR(SQRT(C4^2),0)</f>
        <v>4.06</v>
      </c>
      <c r="I4" s="26" t="s">
        <v>53</v>
      </c>
      <c r="J4" s="27" t="str">
        <f aca="false">IF(C4&lt;0,"NEG BIAS",IF(ABS(C4)&gt;F4*0.8,"HIGH","NEUTRAL"))</f>
        <v>NEUTRAL</v>
      </c>
      <c r="K4" s="28" t="n">
        <f aca="false">IFERROR(ABS(C4)/F4,0)</f>
        <v>0.413863404689093</v>
      </c>
      <c r="L4" s="23" t="str">
        <f aca="false">IF(K4&gt;=0.8,"🔴 SATURATED",IF(K4&gt;=0.4,"🟢 ACTIVE",IF(K4&gt;0,"🔶 LOW","⛔ ZERO")))</f>
        <v>🟢 ACTIVE</v>
      </c>
    </row>
    <row r="5" customFormat="false" ht="15.75" hidden="false" customHeight="true" outlineLevel="0" collapsed="false">
      <c r="A5" s="20"/>
      <c r="B5" s="21" t="s">
        <v>55</v>
      </c>
      <c r="C5" s="22" t="n">
        <v>6.82</v>
      </c>
      <c r="D5" s="10" t="s">
        <v>52</v>
      </c>
      <c r="E5" s="23" t="n">
        <f aca="false">ABS(C5)</f>
        <v>6.82</v>
      </c>
      <c r="F5" s="24" t="n">
        <v>9.81</v>
      </c>
      <c r="G5" s="25" t="n">
        <f aca="false">IFERROR(ABS(C5)/F5*100,0)</f>
        <v>69.5208970438328</v>
      </c>
      <c r="H5" s="25" t="n">
        <f aca="false">IFERROR(SQRT(C5^2),0)</f>
        <v>6.82</v>
      </c>
      <c r="I5" s="26" t="s">
        <v>53</v>
      </c>
      <c r="J5" s="27" t="str">
        <f aca="false">IF(C5&lt;0,"NEG BIAS",IF(ABS(C5)&gt;F5*0.8,"HIGH","NEUTRAL"))</f>
        <v>NEUTRAL</v>
      </c>
      <c r="K5" s="28" t="n">
        <f aca="false">IFERROR(ABS(C5)/F5,0)</f>
        <v>0.695208970438328</v>
      </c>
      <c r="L5" s="23" t="str">
        <f aca="false">IF(K5&gt;=0.8,"🔴 SATURATED",IF(K5&gt;=0.4,"🟢 ACTIVE",IF(K5&gt;0,"🔶 LOW","⛔ ZERO")))</f>
        <v>🟢 ACTIVE</v>
      </c>
    </row>
    <row r="6" customFormat="false" ht="15.75" hidden="false" customHeight="true" outlineLevel="0" collapsed="false">
      <c r="A6" s="20" t="s">
        <v>56</v>
      </c>
      <c r="B6" s="21" t="s">
        <v>51</v>
      </c>
      <c r="C6" s="22" t="n">
        <v>-0.47</v>
      </c>
      <c r="D6" s="10" t="s">
        <v>52</v>
      </c>
      <c r="E6" s="23" t="n">
        <f aca="false">ABS(C6)</f>
        <v>0.47</v>
      </c>
      <c r="F6" s="24" t="n">
        <v>9.81</v>
      </c>
      <c r="G6" s="25" t="n">
        <f aca="false">IFERROR(ABS(C6)/F6*100,0)</f>
        <v>4.79102956167176</v>
      </c>
      <c r="H6" s="25" t="n">
        <f aca="false">IFERROR(SQRT(C6^2),0)</f>
        <v>0.47</v>
      </c>
      <c r="I6" s="26" t="s">
        <v>53</v>
      </c>
      <c r="J6" s="27" t="str">
        <f aca="false">IF(C6&lt;0,"NEG BIAS",IF(ABS(C6)&gt;F6*0.8,"HIGH","NEUTRAL"))</f>
        <v>NEG BIAS</v>
      </c>
      <c r="K6" s="28" t="n">
        <f aca="false">IFERROR(ABS(C6)/F6,0)</f>
        <v>0.0479102956167176</v>
      </c>
      <c r="L6" s="23" t="str">
        <f aca="false">IF(K6&gt;=0.8,"🔴 SATURATED",IF(K6&gt;=0.4,"🟢 ACTIVE",IF(K6&gt;0,"🔶 LOW","⛔ ZERO")))</f>
        <v>🔶 LOW</v>
      </c>
    </row>
    <row r="7" customFormat="false" ht="15.75" hidden="false" customHeight="true" outlineLevel="0" collapsed="false">
      <c r="A7" s="20"/>
      <c r="B7" s="21" t="s">
        <v>54</v>
      </c>
      <c r="C7" s="22" t="n">
        <v>4.09</v>
      </c>
      <c r="D7" s="10" t="s">
        <v>52</v>
      </c>
      <c r="E7" s="23" t="n">
        <f aca="false">ABS(C7)</f>
        <v>4.09</v>
      </c>
      <c r="F7" s="24" t="n">
        <v>9.81</v>
      </c>
      <c r="G7" s="25" t="n">
        <f aca="false">IFERROR(ABS(C7)/F7*100,0)</f>
        <v>41.6921508664628</v>
      </c>
      <c r="H7" s="25" t="n">
        <f aca="false">IFERROR(SQRT(C7^2),0)</f>
        <v>4.09</v>
      </c>
      <c r="I7" s="26" t="s">
        <v>53</v>
      </c>
      <c r="J7" s="27" t="str">
        <f aca="false">IF(C7&lt;0,"NEG BIAS",IF(ABS(C7)&gt;F7*0.8,"HIGH","NEUTRAL"))</f>
        <v>NEUTRAL</v>
      </c>
      <c r="K7" s="28" t="n">
        <f aca="false">IFERROR(ABS(C7)/F7,0)</f>
        <v>0.416921508664628</v>
      </c>
      <c r="L7" s="23" t="str">
        <f aca="false">IF(K7&gt;=0.8,"🔴 SATURATED",IF(K7&gt;=0.4,"🟢 ACTIVE",IF(K7&gt;0,"🔶 LOW","⛔ ZERO")))</f>
        <v>🟢 ACTIVE</v>
      </c>
    </row>
    <row r="8" customFormat="false" ht="15.75" hidden="false" customHeight="true" outlineLevel="0" collapsed="false">
      <c r="A8" s="20"/>
      <c r="B8" s="21" t="s">
        <v>55</v>
      </c>
      <c r="C8" s="22" t="n">
        <v>8.9</v>
      </c>
      <c r="D8" s="10" t="s">
        <v>52</v>
      </c>
      <c r="E8" s="23" t="n">
        <f aca="false">ABS(C8)</f>
        <v>8.9</v>
      </c>
      <c r="F8" s="24" t="n">
        <v>9.81</v>
      </c>
      <c r="G8" s="25" t="n">
        <f aca="false">IFERROR(ABS(C8)/F8*100,0)</f>
        <v>90.72375127421</v>
      </c>
      <c r="H8" s="25" t="n">
        <f aca="false">IFERROR(SQRT(C8^2),0)</f>
        <v>8.9</v>
      </c>
      <c r="I8" s="26" t="s">
        <v>53</v>
      </c>
      <c r="J8" s="27" t="str">
        <f aca="false">IF(C8&lt;0,"NEG BIAS",IF(ABS(C8)&gt;F8*0.8,"HIGH","NEUTRAL"))</f>
        <v>HIGH</v>
      </c>
      <c r="K8" s="28" t="n">
        <f aca="false">IFERROR(ABS(C8)/F8,0)</f>
        <v>0.9072375127421</v>
      </c>
      <c r="L8" s="23" t="str">
        <f aca="false">IF(K8&gt;=0.8,"🔴 SATURATED",IF(K8&gt;=0.4,"🟢 ACTIVE",IF(K8&gt;0,"🔶 LOW","⛔ ZERO")))</f>
        <v>🔴 SATURATED</v>
      </c>
    </row>
    <row r="9" customFormat="false" ht="15.75" hidden="false" customHeight="true" outlineLevel="0" collapsed="false">
      <c r="A9" s="20" t="s">
        <v>57</v>
      </c>
      <c r="B9" s="21" t="s">
        <v>51</v>
      </c>
      <c r="C9" s="22" t="n">
        <v>0.06</v>
      </c>
      <c r="D9" s="10" t="s">
        <v>58</v>
      </c>
      <c r="E9" s="23" t="n">
        <f aca="false">ABS(C9)</f>
        <v>0.06</v>
      </c>
      <c r="F9" s="24" t="n">
        <v>1</v>
      </c>
      <c r="G9" s="25" t="n">
        <f aca="false">IFERROR(ABS(C9)/F9*100,0)</f>
        <v>6</v>
      </c>
      <c r="H9" s="25" t="n">
        <f aca="false">IFERROR(SQRT(C9^2),0)</f>
        <v>0.06</v>
      </c>
      <c r="I9" s="26" t="s">
        <v>53</v>
      </c>
      <c r="J9" s="27" t="str">
        <f aca="false">IF(C9&lt;0,"NEG BIAS",IF(ABS(C9)&gt;F9*0.8,"HIGH","NEUTRAL"))</f>
        <v>NEUTRAL</v>
      </c>
      <c r="K9" s="28" t="n">
        <f aca="false">IFERROR(ABS(C9)/F9,0)</f>
        <v>0.06</v>
      </c>
      <c r="L9" s="23" t="str">
        <f aca="false">IF(K9&gt;=0.8,"🔴 SATURATED",IF(K9&gt;=0.4,"🟢 ACTIVE",IF(K9&gt;0,"🔶 LOW","⛔ ZERO")))</f>
        <v>🔶 LOW</v>
      </c>
    </row>
    <row r="10" customFormat="false" ht="15.75" hidden="false" customHeight="true" outlineLevel="0" collapsed="false">
      <c r="A10" s="20"/>
      <c r="B10" s="21" t="s">
        <v>54</v>
      </c>
      <c r="C10" s="22" t="n">
        <v>0.15</v>
      </c>
      <c r="D10" s="10" t="s">
        <v>58</v>
      </c>
      <c r="E10" s="23" t="n">
        <f aca="false">ABS(C10)</f>
        <v>0.15</v>
      </c>
      <c r="F10" s="24" t="n">
        <v>1</v>
      </c>
      <c r="G10" s="25" t="n">
        <f aca="false">IFERROR(ABS(C10)/F10*100,0)</f>
        <v>15</v>
      </c>
      <c r="H10" s="25" t="n">
        <f aca="false">IFERROR(SQRT(C10^2),0)</f>
        <v>0.15</v>
      </c>
      <c r="I10" s="26" t="s">
        <v>53</v>
      </c>
      <c r="J10" s="27" t="str">
        <f aca="false">IF(C10&lt;0,"NEG BIAS",IF(ABS(C10)&gt;F10*0.8,"HIGH","NEUTRAL"))</f>
        <v>NEUTRAL</v>
      </c>
      <c r="K10" s="28" t="n">
        <f aca="false">IFERROR(ABS(C10)/F10,0)</f>
        <v>0.15</v>
      </c>
      <c r="L10" s="23" t="str">
        <f aca="false">IF(K10&gt;=0.8,"🔴 SATURATED",IF(K10&gt;=0.4,"🟢 ACTIVE",IF(K10&gt;0,"🔶 LOW","⛔ ZERO")))</f>
        <v>🔶 LOW</v>
      </c>
    </row>
    <row r="11" customFormat="false" ht="15.75" hidden="false" customHeight="true" outlineLevel="0" collapsed="false">
      <c r="A11" s="20"/>
      <c r="B11" s="21" t="s">
        <v>55</v>
      </c>
      <c r="C11" s="22" t="n">
        <v>0.05</v>
      </c>
      <c r="D11" s="10" t="s">
        <v>58</v>
      </c>
      <c r="E11" s="23" t="n">
        <f aca="false">ABS(C11)</f>
        <v>0.05</v>
      </c>
      <c r="F11" s="24" t="n">
        <v>1</v>
      </c>
      <c r="G11" s="25" t="n">
        <f aca="false">IFERROR(ABS(C11)/F11*100,0)</f>
        <v>5</v>
      </c>
      <c r="H11" s="25" t="n">
        <f aca="false">IFERROR(SQRT(C11^2),0)</f>
        <v>0.05</v>
      </c>
      <c r="I11" s="26" t="s">
        <v>53</v>
      </c>
      <c r="J11" s="27" t="str">
        <f aca="false">IF(C11&lt;0,"NEG BIAS",IF(ABS(C11)&gt;F11*0.8,"HIGH","NEUTRAL"))</f>
        <v>NEUTRAL</v>
      </c>
      <c r="K11" s="28" t="n">
        <f aca="false">IFERROR(ABS(C11)/F11,0)</f>
        <v>0.05</v>
      </c>
      <c r="L11" s="23" t="str">
        <f aca="false">IF(K11&gt;=0.8,"🔴 SATURATED",IF(K11&gt;=0.4,"🟢 ACTIVE",IF(K11&gt;0,"🔶 LOW","⛔ ZERO")))</f>
        <v>🔶 LOW</v>
      </c>
    </row>
    <row r="12" customFormat="false" ht="15.75" hidden="false" customHeight="true" outlineLevel="0" collapsed="false">
      <c r="A12" s="20" t="s">
        <v>59</v>
      </c>
      <c r="B12" s="21" t="s">
        <v>51</v>
      </c>
      <c r="C12" s="22" t="n">
        <v>0.13</v>
      </c>
      <c r="D12" s="10" t="s">
        <v>52</v>
      </c>
      <c r="E12" s="23" t="n">
        <f aca="false">ABS(C12)</f>
        <v>0.13</v>
      </c>
      <c r="F12" s="24" t="n">
        <v>9.81</v>
      </c>
      <c r="G12" s="25" t="n">
        <f aca="false">IFERROR(ABS(C12)/F12*100,0)</f>
        <v>1.32517838939857</v>
      </c>
      <c r="H12" s="25" t="n">
        <f aca="false">IFERROR(SQRT(C12^2),0)</f>
        <v>0.13</v>
      </c>
      <c r="I12" s="26" t="s">
        <v>53</v>
      </c>
      <c r="J12" s="27" t="str">
        <f aca="false">IF(C12&lt;0,"NEG BIAS",IF(ABS(C12)&gt;F12*0.8,"HIGH","NEUTRAL"))</f>
        <v>NEUTRAL</v>
      </c>
      <c r="K12" s="28" t="n">
        <f aca="false">IFERROR(ABS(C12)/F12,0)</f>
        <v>0.0132517838939857</v>
      </c>
      <c r="L12" s="23" t="str">
        <f aca="false">IF(K12&gt;=0.8,"🔴 SATURATED",IF(K12&gt;=0.4,"🟢 ACTIVE",IF(K12&gt;0,"🔶 LOW","⛔ ZERO")))</f>
        <v>🔶 LOW</v>
      </c>
    </row>
    <row r="13" customFormat="false" ht="15.75" hidden="false" customHeight="true" outlineLevel="0" collapsed="false">
      <c r="A13" s="20"/>
      <c r="B13" s="21" t="s">
        <v>54</v>
      </c>
      <c r="C13" s="22" t="n">
        <v>3.25</v>
      </c>
      <c r="D13" s="10" t="s">
        <v>52</v>
      </c>
      <c r="E13" s="23" t="n">
        <f aca="false">ABS(C13)</f>
        <v>3.25</v>
      </c>
      <c r="F13" s="24" t="n">
        <v>9.81</v>
      </c>
      <c r="G13" s="25" t="n">
        <f aca="false">IFERROR(ABS(C13)/F13*100,0)</f>
        <v>33.1294597349643</v>
      </c>
      <c r="H13" s="25" t="n">
        <f aca="false">IFERROR(SQRT(C13^2),0)</f>
        <v>3.25</v>
      </c>
      <c r="I13" s="26" t="s">
        <v>53</v>
      </c>
      <c r="J13" s="27" t="str">
        <f aca="false">IF(C13&lt;0,"NEG BIAS",IF(ABS(C13)&gt;F13*0.8,"HIGH","NEUTRAL"))</f>
        <v>NEUTRAL</v>
      </c>
      <c r="K13" s="28" t="n">
        <f aca="false">IFERROR(ABS(C13)/F13,0)</f>
        <v>0.331294597349643</v>
      </c>
      <c r="L13" s="23" t="str">
        <f aca="false">IF(K13&gt;=0.8,"🔴 SATURATED",IF(K13&gt;=0.4,"🟢 ACTIVE",IF(K13&gt;0,"🔶 LOW","⛔ ZERO")))</f>
        <v>🔶 LOW</v>
      </c>
    </row>
    <row r="14" customFormat="false" ht="15.75" hidden="false" customHeight="true" outlineLevel="0" collapsed="false">
      <c r="A14" s="20"/>
      <c r="B14" s="21" t="s">
        <v>55</v>
      </c>
      <c r="C14" s="22" t="n">
        <v>5.45</v>
      </c>
      <c r="D14" s="10" t="s">
        <v>52</v>
      </c>
      <c r="E14" s="23" t="n">
        <f aca="false">ABS(C14)</f>
        <v>5.45</v>
      </c>
      <c r="F14" s="24" t="n">
        <v>9.81</v>
      </c>
      <c r="G14" s="25" t="n">
        <f aca="false">IFERROR(ABS(C14)/F14*100,0)</f>
        <v>55.5555555555556</v>
      </c>
      <c r="H14" s="25" t="n">
        <f aca="false">IFERROR(SQRT(C14^2),0)</f>
        <v>5.45</v>
      </c>
      <c r="I14" s="26" t="s">
        <v>53</v>
      </c>
      <c r="J14" s="27" t="str">
        <f aca="false">IF(C14&lt;0,"NEG BIAS",IF(ABS(C14)&gt;F14*0.8,"HIGH","NEUTRAL"))</f>
        <v>NEUTRAL</v>
      </c>
      <c r="K14" s="28" t="n">
        <f aca="false">IFERROR(ABS(C14)/F14,0)</f>
        <v>0.555555555555556</v>
      </c>
      <c r="L14" s="23" t="str">
        <f aca="false">IF(K14&gt;=0.8,"🔴 SATURATED",IF(K14&gt;=0.4,"🟢 ACTIVE",IF(K14&gt;0,"🔶 LOW","⛔ ZERO")))</f>
        <v>🟢 ACTIVE</v>
      </c>
    </row>
    <row r="15" customFormat="false" ht="15.75" hidden="false" customHeight="true" outlineLevel="0" collapsed="false">
      <c r="A15" s="20" t="s">
        <v>60</v>
      </c>
      <c r="B15" s="21" t="s">
        <v>51</v>
      </c>
      <c r="C15" s="22" t="n">
        <v>-57.21</v>
      </c>
      <c r="D15" s="10" t="s">
        <v>14</v>
      </c>
      <c r="E15" s="23" t="n">
        <f aca="false">ABS(C15)</f>
        <v>57.21</v>
      </c>
      <c r="F15" s="24" t="n">
        <v>100</v>
      </c>
      <c r="G15" s="25" t="n">
        <f aca="false">IFERROR(ABS(C15)/F15*100,0)</f>
        <v>57.21</v>
      </c>
      <c r="H15" s="25" t="n">
        <f aca="false">IFERROR(SQRT(C15^2),0)</f>
        <v>57.21</v>
      </c>
      <c r="I15" s="29" t="n">
        <f aca="false">IFERROR(DEGREES(ATAN2(C15,C15)),"—")</f>
        <v>-135</v>
      </c>
      <c r="J15" s="27" t="str">
        <f aca="false">IF(C15&lt;0,"NEG BIAS",IF(ABS(C15)&gt;F15*0.8,"HIGH","NEUTRAL"))</f>
        <v>NEG BIAS</v>
      </c>
      <c r="K15" s="28" t="n">
        <f aca="false">IFERROR(ABS(C15)/F15,0)</f>
        <v>0.5721</v>
      </c>
      <c r="L15" s="23" t="str">
        <f aca="false">IF(K15&gt;=0.8,"🔴 SATURATED",IF(K15&gt;=0.4,"🟢 ACTIVE",IF(K15&gt;0,"🔶 LOW","⛔ ZERO")))</f>
        <v>🟢 ACTIVE</v>
      </c>
    </row>
    <row r="16" customFormat="false" ht="15.75" hidden="false" customHeight="true" outlineLevel="0" collapsed="false">
      <c r="A16" s="20"/>
      <c r="B16" s="21" t="s">
        <v>54</v>
      </c>
      <c r="C16" s="22" t="n">
        <v>-19.41</v>
      </c>
      <c r="D16" s="10" t="s">
        <v>14</v>
      </c>
      <c r="E16" s="23" t="n">
        <f aca="false">ABS(C16)</f>
        <v>19.41</v>
      </c>
      <c r="F16" s="24" t="n">
        <v>100</v>
      </c>
      <c r="G16" s="25" t="n">
        <f aca="false">IFERROR(ABS(C16)/F16*100,0)</f>
        <v>19.41</v>
      </c>
      <c r="H16" s="25" t="n">
        <f aca="false">IFERROR(SQRT(C16^2),0)</f>
        <v>19.41</v>
      </c>
      <c r="I16" s="29" t="n">
        <f aca="false">IFERROR(DEGREES(ATAN2(C16,C16)),"—")</f>
        <v>-135</v>
      </c>
      <c r="J16" s="27" t="str">
        <f aca="false">IF(C16&lt;0,"NEG BIAS",IF(ABS(C16)&gt;F16*0.8,"HIGH","NEUTRAL"))</f>
        <v>NEG BIAS</v>
      </c>
      <c r="K16" s="28" t="n">
        <f aca="false">IFERROR(ABS(C16)/F16,0)</f>
        <v>0.1941</v>
      </c>
      <c r="L16" s="23" t="str">
        <f aca="false">IF(K16&gt;=0.8,"🔴 SATURATED",IF(K16&gt;=0.4,"🟢 ACTIVE",IF(K16&gt;0,"🔶 LOW","⛔ ZERO")))</f>
        <v>🔶 LOW</v>
      </c>
    </row>
    <row r="17" customFormat="false" ht="15.75" hidden="false" customHeight="true" outlineLevel="0" collapsed="false">
      <c r="A17" s="20"/>
      <c r="B17" s="21" t="s">
        <v>55</v>
      </c>
      <c r="C17" s="22" t="n">
        <v>47.29</v>
      </c>
      <c r="D17" s="10" t="s">
        <v>14</v>
      </c>
      <c r="E17" s="23" t="n">
        <f aca="false">ABS(C17)</f>
        <v>47.29</v>
      </c>
      <c r="F17" s="24" t="n">
        <v>100</v>
      </c>
      <c r="G17" s="25" t="n">
        <f aca="false">IFERROR(ABS(C17)/F17*100,0)</f>
        <v>47.29</v>
      </c>
      <c r="H17" s="25" t="n">
        <f aca="false">IFERROR(SQRT(C17^2),0)</f>
        <v>47.29</v>
      </c>
      <c r="I17" s="29" t="n">
        <f aca="false">IFERROR(DEGREES(ATAN2(C17,C17)),"—")</f>
        <v>45</v>
      </c>
      <c r="J17" s="27" t="str">
        <f aca="false">IF(C17&lt;0,"NEG BIAS",IF(ABS(C17)&gt;F17*0.8,"HIGH","NEUTRAL"))</f>
        <v>NEUTRAL</v>
      </c>
      <c r="K17" s="28" t="n">
        <f aca="false">IFERROR(ABS(C17)/F17,0)</f>
        <v>0.4729</v>
      </c>
      <c r="L17" s="23" t="str">
        <f aca="false">IF(K17&gt;=0.8,"🔴 SATURATED",IF(K17&gt;=0.4,"🟢 ACTIVE",IF(K17&gt;0,"🔶 LOW","⛔ ZERO")))</f>
        <v>🟢 ACTIVE</v>
      </c>
    </row>
    <row r="18" customFormat="false" ht="15.75" hidden="false" customHeight="true" outlineLevel="0" collapsed="false">
      <c r="A18" s="20" t="s">
        <v>61</v>
      </c>
      <c r="B18" s="21" t="s">
        <v>51</v>
      </c>
      <c r="C18" s="22" t="n">
        <v>-23.36</v>
      </c>
      <c r="D18" s="10" t="s">
        <v>62</v>
      </c>
      <c r="E18" s="23" t="n">
        <f aca="false">ABS(C18)</f>
        <v>23.36</v>
      </c>
      <c r="F18" s="24" t="n">
        <v>360</v>
      </c>
      <c r="G18" s="25" t="n">
        <f aca="false">IFERROR(ABS(C18)/F18*100,0)</f>
        <v>6.48888888888889</v>
      </c>
      <c r="H18" s="25" t="n">
        <f aca="false">IFERROR(SQRT(C18^2),0)</f>
        <v>23.36</v>
      </c>
      <c r="I18" s="26" t="s">
        <v>53</v>
      </c>
      <c r="J18" s="27" t="str">
        <f aca="false">IF(C18&lt;0,"NEG BIAS",IF(ABS(C18)&gt;F18*0.8,"HIGH","NEUTRAL"))</f>
        <v>NEG BIAS</v>
      </c>
      <c r="K18" s="28" t="n">
        <f aca="false">IFERROR(ABS(C18)/F18,0)</f>
        <v>0.0648888888888889</v>
      </c>
      <c r="L18" s="23" t="str">
        <f aca="false">IF(K18&gt;=0.8,"🔴 SATURATED",IF(K18&gt;=0.4,"🟢 ACTIVE",IF(K18&gt;0,"🔶 LOW","⛔ ZERO")))</f>
        <v>🔶 LOW</v>
      </c>
    </row>
    <row r="19" customFormat="false" ht="15.75" hidden="false" customHeight="true" outlineLevel="0" collapsed="false">
      <c r="A19" s="20"/>
      <c r="B19" s="21" t="s">
        <v>54</v>
      </c>
      <c r="C19" s="22" t="n">
        <v>3.59</v>
      </c>
      <c r="D19" s="10" t="s">
        <v>62</v>
      </c>
      <c r="E19" s="23" t="n">
        <f aca="false">ABS(C19)</f>
        <v>3.59</v>
      </c>
      <c r="F19" s="24" t="n">
        <v>360</v>
      </c>
      <c r="G19" s="25" t="n">
        <f aca="false">IFERROR(ABS(C19)/F19*100,0)</f>
        <v>0.997222222222222</v>
      </c>
      <c r="H19" s="25" t="n">
        <f aca="false">IFERROR(SQRT(C19^2),0)</f>
        <v>3.59</v>
      </c>
      <c r="I19" s="26" t="s">
        <v>53</v>
      </c>
      <c r="J19" s="27" t="str">
        <f aca="false">IF(C19&lt;0,"NEG BIAS",IF(ABS(C19)&gt;F19*0.8,"HIGH","NEUTRAL"))</f>
        <v>NEUTRAL</v>
      </c>
      <c r="K19" s="28" t="n">
        <f aca="false">IFERROR(ABS(C19)/F19,0)</f>
        <v>0.00997222222222222</v>
      </c>
      <c r="L19" s="23" t="str">
        <f aca="false">IF(K19&gt;=0.8,"🔴 SATURATED",IF(K19&gt;=0.4,"🟢 ACTIVE",IF(K19&gt;0,"🔶 LOW","⛔ ZERO")))</f>
        <v>🔶 LOW</v>
      </c>
    </row>
    <row r="20" customFormat="false" ht="15.75" hidden="false" customHeight="true" outlineLevel="0" collapsed="false">
      <c r="A20" s="20"/>
      <c r="B20" s="21" t="s">
        <v>55</v>
      </c>
      <c r="C20" s="22" t="n">
        <v>107.85</v>
      </c>
      <c r="D20" s="10" t="s">
        <v>62</v>
      </c>
      <c r="E20" s="23" t="n">
        <f aca="false">ABS(C20)</f>
        <v>107.85</v>
      </c>
      <c r="F20" s="24" t="n">
        <v>360</v>
      </c>
      <c r="G20" s="25" t="n">
        <f aca="false">IFERROR(ABS(C20)/F20*100,0)</f>
        <v>29.9583333333333</v>
      </c>
      <c r="H20" s="25" t="n">
        <f aca="false">IFERROR(SQRT(C20^2),0)</f>
        <v>107.85</v>
      </c>
      <c r="I20" s="26" t="s">
        <v>53</v>
      </c>
      <c r="J20" s="27" t="str">
        <f aca="false">IF(C20&lt;0,"NEG BIAS",IF(ABS(C20)&gt;F20*0.8,"HIGH","NEUTRAL"))</f>
        <v>NEUTRAL</v>
      </c>
      <c r="K20" s="28" t="n">
        <f aca="false">IFERROR(ABS(C20)/F20,0)</f>
        <v>0.299583333333333</v>
      </c>
      <c r="L20" s="23" t="str">
        <f aca="false">IF(K20&gt;=0.8,"🔴 SATURATED",IF(K20&gt;=0.4,"🟢 ACTIVE",IF(K20&gt;0,"🔶 LOW","⛔ ZERO")))</f>
        <v>🔶 LOW</v>
      </c>
    </row>
    <row r="21" customFormat="false" ht="15.75" hidden="false" customHeight="true" outlineLevel="0" collapsed="false">
      <c r="A21" s="20" t="s">
        <v>63</v>
      </c>
      <c r="B21" s="21" t="s">
        <v>53</v>
      </c>
      <c r="C21" s="22" t="n">
        <v>29.7</v>
      </c>
      <c r="D21" s="10" t="s">
        <v>64</v>
      </c>
      <c r="E21" s="23" t="n">
        <f aca="false">ABS(C21)</f>
        <v>29.7</v>
      </c>
      <c r="F21" s="24" t="n">
        <v>31</v>
      </c>
      <c r="G21" s="25" t="n">
        <f aca="false">IFERROR(ABS(C21)/F21*100,0)</f>
        <v>95.8064516129032</v>
      </c>
      <c r="H21" s="25" t="n">
        <f aca="false">IFERROR(SQRT(C21^2),0)</f>
        <v>29.7</v>
      </c>
      <c r="I21" s="26" t="s">
        <v>53</v>
      </c>
      <c r="J21" s="27" t="str">
        <f aca="false">IF(C21&lt;0,"NEG BIAS",IF(ABS(C21)&gt;F21*0.8,"HIGH","NEUTRAL"))</f>
        <v>HIGH</v>
      </c>
      <c r="K21" s="28" t="n">
        <f aca="false">IFERROR(ABS(C21)/F21,0)</f>
        <v>0.958064516129032</v>
      </c>
      <c r="L21" s="23" t="str">
        <f aca="false">IF(K21&gt;=0.8,"🔴 SATURATED",IF(K21&gt;=0.4,"🟢 ACTIVE",IF(K21&gt;0,"🔶 LOW","⛔ ZERO")))</f>
        <v>🔴 SATURATED</v>
      </c>
    </row>
    <row r="22" customFormat="false" ht="15.75" hidden="false" customHeight="true" outlineLevel="0" collapsed="false">
      <c r="A22" s="20" t="s">
        <v>65</v>
      </c>
      <c r="B22" s="21" t="s">
        <v>53</v>
      </c>
      <c r="C22" s="22" t="n">
        <v>134</v>
      </c>
      <c r="D22" s="10" t="s">
        <v>66</v>
      </c>
      <c r="E22" s="23" t="n">
        <f aca="false">ABS(C22)</f>
        <v>134</v>
      </c>
      <c r="F22" s="24" t="n">
        <v>1000</v>
      </c>
      <c r="G22" s="25" t="n">
        <f aca="false">IFERROR(ABS(C22)/F22*100,0)</f>
        <v>13.4</v>
      </c>
      <c r="H22" s="25" t="n">
        <f aca="false">IFERROR(SQRT(C22^2),0)</f>
        <v>134</v>
      </c>
      <c r="I22" s="26" t="s">
        <v>53</v>
      </c>
      <c r="J22" s="27" t="str">
        <f aca="false">IF(C22&lt;0,"NEG BIAS",IF(ABS(C22)&gt;F22*0.8,"HIGH","NEUTRAL"))</f>
        <v>NEUTRAL</v>
      </c>
      <c r="K22" s="28" t="n">
        <f aca="false">IFERROR(ABS(C22)/F22,0)</f>
        <v>0.134</v>
      </c>
      <c r="L22" s="23" t="str">
        <f aca="false">IF(K22&gt;=0.8,"🔴 SATURATED",IF(K22&gt;=0.4,"🟢 ACTIVE",IF(K22&gt;0,"🔶 LOW","⛔ ZERO")))</f>
        <v>🔶 LOW</v>
      </c>
    </row>
    <row r="23" customFormat="false" ht="15.75" hidden="false" customHeight="true" outlineLevel="0" collapsed="false">
      <c r="A23" s="20" t="s">
        <v>67</v>
      </c>
      <c r="B23" s="21" t="s">
        <v>53</v>
      </c>
      <c r="C23" s="22" t="n">
        <v>5</v>
      </c>
      <c r="D23" s="10" t="s">
        <v>68</v>
      </c>
      <c r="E23" s="23" t="n">
        <f aca="false">ABS(C23)</f>
        <v>5</v>
      </c>
      <c r="F23" s="24" t="n">
        <v>10</v>
      </c>
      <c r="G23" s="25" t="n">
        <f aca="false">IFERROR(ABS(C23)/F23*100,0)</f>
        <v>50</v>
      </c>
      <c r="H23" s="25" t="n">
        <f aca="false">IFERROR(SQRT(C23^2),0)</f>
        <v>5</v>
      </c>
      <c r="I23" s="26" t="s">
        <v>53</v>
      </c>
      <c r="J23" s="27" t="str">
        <f aca="false">IF(C23&lt;0,"NEG BIAS",IF(ABS(C23)&gt;F23*0.8,"HIGH","NEUTRAL"))</f>
        <v>NEUTRAL</v>
      </c>
      <c r="K23" s="28" t="n">
        <f aca="false">IFERROR(ABS(C23)/F23,0)</f>
        <v>0.5</v>
      </c>
      <c r="L23" s="23" t="str">
        <f aca="false">IF(K23&gt;=0.8,"🔴 SATURATED",IF(K23&gt;=0.4,"🟢 ACTIVE",IF(K23&gt;0,"🔶 LOW","⛔ ZERO")))</f>
        <v>🟢 ACTIVE</v>
      </c>
    </row>
    <row r="25" customFormat="false" ht="19.5" hidden="false" customHeight="true" outlineLevel="0" collapsed="false">
      <c r="A25" s="7" t="s">
        <v>69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.75" hidden="false" customHeight="true" outlineLevel="0" collapsed="false">
      <c r="A26" s="8" t="s">
        <v>70</v>
      </c>
      <c r="B26" s="8"/>
      <c r="C26" s="8"/>
      <c r="D26" s="8"/>
      <c r="E26" s="30" t="n">
        <f aca="false">SQRT(C3^2+C4^2+C5^2)</f>
        <v>7.93861448868756</v>
      </c>
      <c r="F26" s="30"/>
      <c r="G26" s="30"/>
      <c r="H26" s="31" t="s">
        <v>52</v>
      </c>
      <c r="I26" s="31"/>
      <c r="J26" s="32" t="str">
        <f aca="false">IF(E26&gt;5,"HIGH VECTOR","LOW VECTOR")</f>
        <v>HIGH VECTOR</v>
      </c>
      <c r="K26" s="32"/>
      <c r="L26" s="32"/>
    </row>
    <row r="27" customFormat="false" ht="15.75" hidden="false" customHeight="true" outlineLevel="0" collapsed="false">
      <c r="A27" s="8" t="s">
        <v>71</v>
      </c>
      <c r="B27" s="8"/>
      <c r="C27" s="8"/>
      <c r="D27" s="8"/>
      <c r="E27" s="30" t="n">
        <f aca="false">SQRT(C6^2+C7^2+C8^2)</f>
        <v>9.80606954900892</v>
      </c>
      <c r="F27" s="30"/>
      <c r="G27" s="30"/>
      <c r="H27" s="31" t="s">
        <v>52</v>
      </c>
      <c r="I27" s="31"/>
      <c r="J27" s="32" t="str">
        <f aca="false">IF(E27&gt;5,"HIGH VECTOR","LOW VECTOR")</f>
        <v>HIGH VECTOR</v>
      </c>
      <c r="K27" s="32"/>
      <c r="L27" s="32"/>
    </row>
    <row r="28" customFormat="false" ht="15.75" hidden="false" customHeight="true" outlineLevel="0" collapsed="false">
      <c r="A28" s="8" t="s">
        <v>72</v>
      </c>
      <c r="B28" s="8"/>
      <c r="C28" s="8"/>
      <c r="D28" s="8"/>
      <c r="E28" s="30" t="n">
        <f aca="false">SQRT(C9^2+C10^2+C11^2)</f>
        <v>0.169115345252878</v>
      </c>
      <c r="F28" s="30"/>
      <c r="G28" s="30"/>
      <c r="H28" s="31" t="s">
        <v>58</v>
      </c>
      <c r="I28" s="31"/>
      <c r="J28" s="32" t="str">
        <f aca="false">IF(E28&gt;5,"HIGH VECTOR","LOW VECTOR")</f>
        <v>LOW VECTOR</v>
      </c>
      <c r="K28" s="32"/>
      <c r="L28" s="32"/>
    </row>
    <row r="29" customFormat="false" ht="15.75" hidden="false" customHeight="true" outlineLevel="0" collapsed="false">
      <c r="A29" s="8" t="s">
        <v>73</v>
      </c>
      <c r="B29" s="8"/>
      <c r="C29" s="8"/>
      <c r="D29" s="8"/>
      <c r="E29" s="30" t="n">
        <f aca="false">SQRT(C12^2+C13^2+C14^2)</f>
        <v>6.34680234448813</v>
      </c>
      <c r="F29" s="30"/>
      <c r="G29" s="30"/>
      <c r="H29" s="31" t="s">
        <v>52</v>
      </c>
      <c r="I29" s="31"/>
      <c r="J29" s="32" t="str">
        <f aca="false">IF(E29&gt;5,"HIGH VECTOR","LOW VECTOR")</f>
        <v>HIGH VECTOR</v>
      </c>
      <c r="K29" s="32"/>
      <c r="L29" s="32"/>
    </row>
    <row r="30" customFormat="false" ht="15.75" hidden="false" customHeight="true" outlineLevel="0" collapsed="false">
      <c r="A30" s="8" t="s">
        <v>74</v>
      </c>
      <c r="B30" s="8"/>
      <c r="C30" s="8"/>
      <c r="D30" s="8"/>
      <c r="E30" s="30" t="n">
        <f aca="false">SQRT(C15^2+C16^2+C17^2)</f>
        <v>76.7207683746715</v>
      </c>
      <c r="F30" s="30"/>
      <c r="G30" s="30"/>
      <c r="H30" s="31" t="s">
        <v>14</v>
      </c>
      <c r="I30" s="31"/>
      <c r="J30" s="32" t="str">
        <f aca="false">IF(E30&gt;5,"HIGH VECTOR","LOW VECTOR")</f>
        <v>HIGH VECTOR</v>
      </c>
      <c r="K30" s="32"/>
      <c r="L30" s="32"/>
    </row>
    <row r="31" customFormat="false" ht="15.75" hidden="false" customHeight="true" outlineLevel="0" collapsed="false">
      <c r="A31" s="8" t="s">
        <v>75</v>
      </c>
      <c r="B31" s="8"/>
      <c r="C31" s="8"/>
      <c r="D31" s="8"/>
      <c r="E31" s="30" t="n">
        <f aca="false">SQRT(C18^2+C19^2+C20^2)</f>
        <v>110.409239649587</v>
      </c>
      <c r="F31" s="30"/>
      <c r="G31" s="30"/>
      <c r="H31" s="31" t="s">
        <v>62</v>
      </c>
      <c r="I31" s="31"/>
      <c r="J31" s="32" t="str">
        <f aca="false">IF(E31&gt;5,"HIGH VECTOR","LOW VECTOR")</f>
        <v>HIGH VECTOR</v>
      </c>
      <c r="K31" s="32"/>
      <c r="L31" s="32"/>
    </row>
  </sheetData>
  <mergeCells count="26">
    <mergeCell ref="A1:L1"/>
    <mergeCell ref="A25:L25"/>
    <mergeCell ref="A26:D26"/>
    <mergeCell ref="E26:G26"/>
    <mergeCell ref="H26:I26"/>
    <mergeCell ref="J26:L26"/>
    <mergeCell ref="A27:D27"/>
    <mergeCell ref="E27:G27"/>
    <mergeCell ref="H27:I27"/>
    <mergeCell ref="J27:L27"/>
    <mergeCell ref="A28:D28"/>
    <mergeCell ref="E28:G28"/>
    <mergeCell ref="H28:I28"/>
    <mergeCell ref="J28:L28"/>
    <mergeCell ref="A29:D29"/>
    <mergeCell ref="E29:G29"/>
    <mergeCell ref="H29:I29"/>
    <mergeCell ref="J29:L29"/>
    <mergeCell ref="A30:D30"/>
    <mergeCell ref="E30:G30"/>
    <mergeCell ref="H30:I30"/>
    <mergeCell ref="J30:L30"/>
    <mergeCell ref="A31:D31"/>
    <mergeCell ref="E31:G31"/>
    <mergeCell ref="H31:I31"/>
    <mergeCell ref="J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5" min="4" style="1" width="10"/>
    <col collapsed="false" customWidth="true" hidden="false" outlineLevel="0" max="6" min="6" style="1" width="11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false" outlineLevel="0" max="10" min="10" style="1" width="36"/>
  </cols>
  <sheetData>
    <row r="1" customFormat="false" ht="27.75" hidden="false" customHeight="true" outlineLevel="0" collapsed="false">
      <c r="A1" s="2" t="s">
        <v>76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3" t="s">
        <v>77</v>
      </c>
      <c r="B2" s="33"/>
      <c r="C2" s="33"/>
      <c r="D2" s="33"/>
      <c r="E2" s="33"/>
      <c r="F2" s="33"/>
      <c r="G2" s="33"/>
      <c r="H2" s="33"/>
      <c r="I2" s="33"/>
      <c r="J2" s="33"/>
    </row>
    <row r="3" customFormat="false" ht="27.75" hidden="false" customHeight="true" outlineLevel="0" collapsed="false">
      <c r="A3" s="13" t="s">
        <v>39</v>
      </c>
      <c r="B3" s="14" t="s">
        <v>78</v>
      </c>
      <c r="C3" s="14" t="s">
        <v>79</v>
      </c>
      <c r="D3" s="16" t="s">
        <v>80</v>
      </c>
      <c r="E3" s="17" t="s">
        <v>49</v>
      </c>
      <c r="F3" s="15" t="s">
        <v>81</v>
      </c>
      <c r="G3" s="18" t="s">
        <v>48</v>
      </c>
      <c r="H3" s="19" t="s">
        <v>82</v>
      </c>
      <c r="I3" s="13" t="s">
        <v>83</v>
      </c>
      <c r="J3" s="13" t="s">
        <v>84</v>
      </c>
    </row>
    <row r="4" customFormat="false" ht="15.75" hidden="false" customHeight="true" outlineLevel="0" collapsed="false">
      <c r="A4" s="20" t="s">
        <v>50</v>
      </c>
      <c r="B4" s="21" t="n">
        <v>9.81</v>
      </c>
      <c r="C4" s="34" t="n">
        <v>8.17</v>
      </c>
      <c r="D4" s="25" t="n">
        <f aca="false">C4-B4</f>
        <v>-1.64</v>
      </c>
      <c r="E4" s="29" t="n">
        <f aca="false">IFERROR(C4/B4,0)</f>
        <v>0.832823649337411</v>
      </c>
      <c r="F4" s="23" t="n">
        <f aca="false">IFERROR(C4/B4*100,0)</f>
        <v>83.2823649337411</v>
      </c>
      <c r="G4" s="27" t="str">
        <f aca="false">IF(ABS(D4)&lt;=B4*0.1,"NEUTRAL",IF(D4&gt;0,"OVER-BIAS","UNDER-BIAS"))</f>
        <v>UNDER-BIAS</v>
      </c>
      <c r="H4" s="28" t="str">
        <f aca="false">IF(F4&gt;=90,"✅ PROVEN",IF(F4&gt;=70,"🔶 PROMISING",IF(F4&gt;=50,"⚠️ PARTIAL","❌ CHECK")))</f>
        <v>🔶 PROMISING</v>
      </c>
      <c r="I4" s="35" t="s">
        <v>85</v>
      </c>
      <c r="J4" s="36" t="s">
        <v>86</v>
      </c>
    </row>
    <row r="5" customFormat="false" ht="15.75" hidden="false" customHeight="true" outlineLevel="0" collapsed="false">
      <c r="A5" s="20" t="s">
        <v>56</v>
      </c>
      <c r="B5" s="21" t="n">
        <v>9.81</v>
      </c>
      <c r="C5" s="34" t="n">
        <v>9.85</v>
      </c>
      <c r="D5" s="25" t="n">
        <f aca="false">C5-B5</f>
        <v>0.0399999999999992</v>
      </c>
      <c r="E5" s="29" t="n">
        <f aca="false">IFERROR(C5/B5,0)</f>
        <v>1.00407747196738</v>
      </c>
      <c r="F5" s="23" t="n">
        <f aca="false">IFERROR(C5/B5*100,0)</f>
        <v>100.407747196738</v>
      </c>
      <c r="G5" s="27" t="str">
        <f aca="false">IF(ABS(D5)&lt;=B5*0.1,"NEUTRAL",IF(D5&gt;0,"OVER-BIAS","UNDER-BIAS"))</f>
        <v>NEUTRAL</v>
      </c>
      <c r="H5" s="28" t="str">
        <f aca="false">IF(F5&gt;=90,"✅ PROVEN",IF(F5&gt;=70,"🔶 PROMISING",IF(F5&gt;=50,"⚠️ PARTIAL","❌ CHECK")))</f>
        <v>✅ PROVEN</v>
      </c>
      <c r="I5" s="35" t="s">
        <v>87</v>
      </c>
      <c r="J5" s="36" t="s">
        <v>88</v>
      </c>
    </row>
    <row r="6" customFormat="false" ht="15.75" hidden="false" customHeight="true" outlineLevel="0" collapsed="false">
      <c r="A6" s="20" t="s">
        <v>57</v>
      </c>
      <c r="B6" s="21" t="n">
        <v>0</v>
      </c>
      <c r="C6" s="34" t="n">
        <v>0.17</v>
      </c>
      <c r="D6" s="25" t="n">
        <f aca="false">C6-B6</f>
        <v>0.17</v>
      </c>
      <c r="E6" s="29" t="n">
        <f aca="false">IFERROR(C6/B6,0)</f>
        <v>0</v>
      </c>
      <c r="F6" s="23" t="n">
        <f aca="false">IFERROR(C6/B6*100,0)</f>
        <v>0</v>
      </c>
      <c r="G6" s="27" t="str">
        <f aca="false">IF(ABS(D6)&lt;=B6*0.1,"NEUTRAL",IF(D6&gt;0,"OVER-BIAS","UNDER-BIAS"))</f>
        <v>OVER-BIAS</v>
      </c>
      <c r="H6" s="28" t="str">
        <f aca="false">IF(F6&gt;=90,"✅ PROVEN",IF(F6&gt;=70,"🔶 PROMISING",IF(F6&gt;=50,"⚠️ PARTIAL","❌ CHECK")))</f>
        <v>❌ CHECK</v>
      </c>
      <c r="I6" s="35" t="s">
        <v>89</v>
      </c>
      <c r="J6" s="36" t="s">
        <v>90</v>
      </c>
    </row>
    <row r="7" customFormat="false" ht="15.75" hidden="false" customHeight="true" outlineLevel="0" collapsed="false">
      <c r="A7" s="20" t="s">
        <v>59</v>
      </c>
      <c r="B7" s="21" t="n">
        <v>0</v>
      </c>
      <c r="C7" s="34" t="n">
        <v>6.35</v>
      </c>
      <c r="D7" s="25" t="n">
        <f aca="false">C7-B7</f>
        <v>6.35</v>
      </c>
      <c r="E7" s="29" t="n">
        <f aca="false">IFERROR(C7/B7,0)</f>
        <v>0</v>
      </c>
      <c r="F7" s="23" t="n">
        <f aca="false">IFERROR(C7/B7*100,0)</f>
        <v>0</v>
      </c>
      <c r="G7" s="27" t="str">
        <f aca="false">IF(ABS(D7)&lt;=B7*0.1,"NEUTRAL",IF(D7&gt;0,"OVER-BIAS","UNDER-BIAS"))</f>
        <v>OVER-BIAS</v>
      </c>
      <c r="H7" s="28" t="str">
        <f aca="false">IF(F7&gt;=90,"✅ PROVEN",IF(F7&gt;=70,"🔶 PROMISING",IF(F7&gt;=50,"⚠️ PARTIAL","❌ CHECK")))</f>
        <v>❌ CHECK</v>
      </c>
      <c r="I7" s="35" t="s">
        <v>91</v>
      </c>
      <c r="J7" s="36" t="s">
        <v>92</v>
      </c>
    </row>
    <row r="8" customFormat="false" ht="15.75" hidden="false" customHeight="true" outlineLevel="0" collapsed="false">
      <c r="A8" s="20" t="s">
        <v>60</v>
      </c>
      <c r="B8" s="21" t="n">
        <v>50</v>
      </c>
      <c r="C8" s="34" t="n">
        <v>74.13</v>
      </c>
      <c r="D8" s="25" t="n">
        <f aca="false">C8-B8</f>
        <v>24.13</v>
      </c>
      <c r="E8" s="29" t="n">
        <f aca="false">IFERROR(C8/B8,0)</f>
        <v>1.4826</v>
      </c>
      <c r="F8" s="23" t="n">
        <f aca="false">IFERROR(C8/B8*100,0)</f>
        <v>148.26</v>
      </c>
      <c r="G8" s="27" t="str">
        <f aca="false">IF(ABS(D8)&lt;=B8*0.1,"NEUTRAL",IF(D8&gt;0,"OVER-BIAS","UNDER-BIAS"))</f>
        <v>OVER-BIAS</v>
      </c>
      <c r="H8" s="28" t="str">
        <f aca="false">IF(F8&gt;=90,"✅ PROVEN",IF(F8&gt;=70,"🔶 PROMISING",IF(F8&gt;=50,"⚠️ PARTIAL","❌ CHECK")))</f>
        <v>✅ PROVEN</v>
      </c>
      <c r="I8" s="35" t="s">
        <v>93</v>
      </c>
      <c r="J8" s="36" t="s">
        <v>94</v>
      </c>
    </row>
    <row r="9" customFormat="false" ht="15.75" hidden="false" customHeight="true" outlineLevel="0" collapsed="false">
      <c r="A9" s="20" t="s">
        <v>61</v>
      </c>
      <c r="B9" s="21" t="n">
        <v>104</v>
      </c>
      <c r="C9" s="34" t="n">
        <v>108.5</v>
      </c>
      <c r="D9" s="25" t="n">
        <f aca="false">C9-B9</f>
        <v>4.5</v>
      </c>
      <c r="E9" s="29" t="n">
        <f aca="false">IFERROR(C9/B9,0)</f>
        <v>1.04326923076923</v>
      </c>
      <c r="F9" s="23" t="n">
        <f aca="false">IFERROR(C9/B9*100,0)</f>
        <v>104.326923076923</v>
      </c>
      <c r="G9" s="27" t="str">
        <f aca="false">IF(ABS(D9)&lt;=B9*0.1,"NEUTRAL",IF(D9&gt;0,"OVER-BIAS","UNDER-BIAS"))</f>
        <v>NEUTRAL</v>
      </c>
      <c r="H9" s="28" t="str">
        <f aca="false">IF(F9&gt;=90,"✅ PROVEN",IF(F9&gt;=70,"🔶 PROMISING",IF(F9&gt;=50,"⚠️ PARTIAL","❌ CHECK")))</f>
        <v>✅ PROVEN</v>
      </c>
      <c r="I9" s="35" t="s">
        <v>95</v>
      </c>
      <c r="J9" s="36" t="s">
        <v>96</v>
      </c>
    </row>
    <row r="10" customFormat="false" ht="15.75" hidden="false" customHeight="true" outlineLevel="0" collapsed="false">
      <c r="A10" s="20" t="s">
        <v>63</v>
      </c>
      <c r="B10" s="21" t="n">
        <v>29.92</v>
      </c>
      <c r="C10" s="34" t="n">
        <v>29.7</v>
      </c>
      <c r="D10" s="25" t="n">
        <f aca="false">C10-B10</f>
        <v>-0.220000000000002</v>
      </c>
      <c r="E10" s="29" t="n">
        <f aca="false">IFERROR(C10/B10,0)</f>
        <v>0.992647058823529</v>
      </c>
      <c r="F10" s="23" t="n">
        <f aca="false">IFERROR(C10/B10*100,0)</f>
        <v>99.2647058823529</v>
      </c>
      <c r="G10" s="27" t="str">
        <f aca="false">IF(ABS(D10)&lt;=B10*0.1,"NEUTRAL",IF(D10&gt;0,"OVER-BIAS","UNDER-BIAS"))</f>
        <v>NEUTRAL</v>
      </c>
      <c r="H10" s="28" t="str">
        <f aca="false">IF(F10&gt;=90,"✅ PROVEN",IF(F10&gt;=70,"🔶 PROMISING",IF(F10&gt;=50,"⚠️ PARTIAL","❌ CHECK")))</f>
        <v>✅ PROVEN</v>
      </c>
      <c r="I10" s="35" t="s">
        <v>97</v>
      </c>
      <c r="J10" s="36" t="s">
        <v>98</v>
      </c>
    </row>
    <row r="11" customFormat="false" ht="15.75" hidden="false" customHeight="true" outlineLevel="0" collapsed="false">
      <c r="A11" s="20" t="s">
        <v>65</v>
      </c>
      <c r="B11" s="21" t="n">
        <v>500</v>
      </c>
      <c r="C11" s="34" t="n">
        <v>134</v>
      </c>
      <c r="D11" s="25" t="n">
        <f aca="false">C11-B11</f>
        <v>-366</v>
      </c>
      <c r="E11" s="29" t="n">
        <f aca="false">IFERROR(C11/B11,0)</f>
        <v>0.268</v>
      </c>
      <c r="F11" s="23" t="n">
        <f aca="false">IFERROR(C11/B11*100,0)</f>
        <v>26.8</v>
      </c>
      <c r="G11" s="27" t="str">
        <f aca="false">IF(ABS(D11)&lt;=B11*0.1,"NEUTRAL",IF(D11&gt;0,"OVER-BIAS","UNDER-BIAS"))</f>
        <v>UNDER-BIAS</v>
      </c>
      <c r="H11" s="28" t="str">
        <f aca="false">IF(F11&gt;=90,"✅ PROVEN",IF(F11&gt;=70,"🔶 PROMISING",IF(F11&gt;=50,"⚠️ PARTIAL","❌ CHECK")))</f>
        <v>❌ CHECK</v>
      </c>
      <c r="I11" s="35" t="s">
        <v>99</v>
      </c>
      <c r="J11" s="36" t="s">
        <v>100</v>
      </c>
    </row>
    <row r="12" customFormat="false" ht="15.75" hidden="false" customHeight="true" outlineLevel="0" collapsed="false">
      <c r="A12" s="20" t="s">
        <v>67</v>
      </c>
      <c r="B12" s="21" t="n">
        <v>0</v>
      </c>
      <c r="C12" s="34" t="n">
        <v>5</v>
      </c>
      <c r="D12" s="25" t="n">
        <f aca="false">C12-B12</f>
        <v>5</v>
      </c>
      <c r="E12" s="29" t="n">
        <f aca="false">IFERROR(C12/B12,0)</f>
        <v>0</v>
      </c>
      <c r="F12" s="23" t="n">
        <f aca="false">IFERROR(C12/B12*100,0)</f>
        <v>0</v>
      </c>
      <c r="G12" s="27" t="str">
        <f aca="false">IF(ABS(D12)&lt;=B12*0.1,"NEUTRAL",IF(D12&gt;0,"OVER-BIAS","UNDER-BIAS"))</f>
        <v>OVER-BIAS</v>
      </c>
      <c r="H12" s="28" t="str">
        <f aca="false">IF(F12&gt;=90,"✅ PROVEN",IF(F12&gt;=70,"🔶 PROMISING",IF(F12&gt;=50,"⚠️ PARTIAL","❌ CHECK")))</f>
        <v>❌ CHECK</v>
      </c>
      <c r="I12" s="35" t="s">
        <v>101</v>
      </c>
      <c r="J12" s="36" t="s">
        <v>102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2026-06-16T13:47:59Z</dcterms:created>
  <dc:creator>openpyxl</dc:creator>
  <dc:description/>
  <dc:language>en-US</dc:language>
  <cp:lastModifiedBy/>
  <dcterms:modified xsi:type="dcterms:W3CDTF">2026-06-16T13:48:24Z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