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IPE DMS ENGINE" sheetId="1" state="visible" r:id="rId3"/>
    <sheet name="PIPE DMS THEO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<sst xmlns="http://schemas.openxmlformats.org/spreadsheetml/2006/main" count="187" uniqueCount="169">
  <si>
    <t xml:space="preserve">SAGCO PIPE-DMS | E-1706-NA-1A | CUI Circuit | 280 FT · 260 PSI · 85°F · API 5L GR.B · 1½"</t>
  </si>
  <si>
    <t xml:space="preserve">INVENTION: LNFT = DEGREES° | INCHES = MINUTES' | 32nds = SECONDS" | 32nd subdivisions → N/S compass axis | 64th subdivisions → E/W compass axis | Egyptian fractions (1/2, 1/3, 1/4...) → vertical axis (UP/DN) | DIAGONAL sections → hypotenuse of DMS triangle</t>
  </si>
  <si>
    <t xml:space="preserve">DRAWING: E-1706-NA-1A-1 of 1 | Process: E-1706 TO CAUSTIC BOTTOMS | Line: 1½"-NA-173017-B1K | P&amp;ID: 51F-2 | Area 12 | LyondellBasell | Drawn: J.MADDOX 01/09/18</t>
  </si>
  <si>
    <t xml:space="preserve">BUBBLE
# / ID</t>
  </si>
  <si>
    <t xml:space="preserve">SEGMENT
DIRECTION</t>
  </si>
  <si>
    <t xml:space="preserve">COMPASS
BEARING</t>
  </si>
  <si>
    <t xml:space="preserve">LNFT
(DEGREES°)</t>
  </si>
  <si>
    <t xml:space="preserve">INCHES
(MINUTES')</t>
  </si>
  <si>
    <t xml:space="preserve">32nds
(SECONDS")</t>
  </si>
  <si>
    <t xml:space="preserve">64ths
(SUBSEC)</t>
  </si>
  <si>
    <t xml:space="preserve">EGYPTIAN
FRAC</t>
  </si>
  <si>
    <t xml:space="preserve">VERTICAL
(UP/DN)</t>
  </si>
  <si>
    <t xml:space="preserve">DMS STRING
FULL</t>
  </si>
  <si>
    <t xml:space="preserve">SQFT
(π×D×L)</t>
  </si>
  <si>
    <t xml:space="preserve">MAN HRS
(/15)</t>
  </si>
  <si>
    <t xml:space="preserve">CUI
EXPOSED?</t>
  </si>
  <si>
    <t xml:space="preserve">TASK</t>
  </si>
  <si>
    <t xml:space="preserve">COMPASS
SURVEY°</t>
  </si>
  <si>
    <t xml:space="preserve">μT
FIELD</t>
  </si>
  <si>
    <t xml:space="preserve">Q-POINT
(A/E)</t>
  </si>
  <si>
    <t xml:space="preserve">VERDICT</t>
  </si>
  <si>
    <t xml:space="preserve">①</t>
  </si>
  <si>
    <t xml:space="preserve">UP — vertical riser</t>
  </si>
  <si>
    <t xml:space="preserve">0°N</t>
  </si>
  <si>
    <t xml:space="preserve">1/2</t>
  </si>
  <si>
    <t xml:space="preserve">UP+12</t>
  </si>
  <si>
    <t xml:space="preserve">🔴 YES</t>
  </si>
  <si>
    <t xml:space="preserve">REMOVE INSULATION</t>
  </si>
  <si>
    <t xml:space="preserve">308°</t>
  </si>
  <si>
    <t xml:space="preserve">102μT</t>
  </si>
  <si>
    <t xml:space="preserve">🔶 CLOSE</t>
  </si>
  <si>
    <t xml:space="preserve">②</t>
  </si>
  <si>
    <t xml:space="preserve">NE — diagonal to rack</t>
  </si>
  <si>
    <t xml:space="preserve">45°NE</t>
  </si>
  <si>
    <t xml:space="preserve">1/3</t>
  </si>
  <si>
    <t xml:space="preserve">LEVEL</t>
  </si>
  <si>
    <t xml:space="preserve">268°</t>
  </si>
  <si>
    <t xml:space="preserve">66μT</t>
  </si>
  <si>
    <t xml:space="preserve">⚠️ CHECK</t>
  </si>
  <si>
    <t xml:space="preserve">③</t>
  </si>
  <si>
    <t xml:space="preserve">E→W horizontal rack run</t>
  </si>
  <si>
    <t xml:space="preserve">270°W</t>
  </si>
  <si>
    <t xml:space="preserve">1/1</t>
  </si>
  <si>
    <t xml:space="preserve">225°</t>
  </si>
  <si>
    <t xml:space="preserve">61μT</t>
  </si>
  <si>
    <t xml:space="preserve">④</t>
  </si>
  <si>
    <t xml:space="preserve">DN — drop at TPPC-1</t>
  </si>
  <si>
    <t xml:space="preserve">180°S</t>
  </si>
  <si>
    <t xml:space="preserve">1/4</t>
  </si>
  <si>
    <t xml:space="preserve">DN-8</t>
  </si>
  <si>
    <t xml:space="preserve">195°</t>
  </si>
  <si>
    <t xml:space="preserve">45μT</t>
  </si>
  <si>
    <t xml:space="preserve">✅ ALIGNED</t>
  </si>
  <si>
    <t xml:space="preserve">⑤</t>
  </si>
  <si>
    <t xml:space="preserve">SE — diagonal at TPPC-2</t>
  </si>
  <si>
    <t xml:space="preserve">135°SE</t>
  </si>
  <si>
    <t xml:space="preserve">DN-4</t>
  </si>
  <si>
    <t xml:space="preserve">144°</t>
  </si>
  <si>
    <t xml:space="preserve">41μT</t>
  </si>
  <si>
    <t xml:space="preserve">⑥</t>
  </si>
  <si>
    <t xml:space="preserve">S — vertical drop segment</t>
  </si>
  <si>
    <t xml:space="preserve">195°S</t>
  </si>
  <si>
    <t xml:space="preserve">2/5</t>
  </si>
  <si>
    <t xml:space="preserve">DN-14</t>
  </si>
  <si>
    <t xml:space="preserve">344°</t>
  </si>
  <si>
    <t xml:space="preserve">36μT</t>
  </si>
  <si>
    <t xml:space="preserve">⑦</t>
  </si>
  <si>
    <t xml:space="preserve">SW — continue to NA-2A</t>
  </si>
  <si>
    <t xml:space="preserve">247°SW</t>
  </si>
  <si>
    <t xml:space="preserve">1/8</t>
  </si>
  <si>
    <t xml:space="preserve">DN-7</t>
  </si>
  <si>
    <t xml:space="preserve">✅ NO</t>
  </si>
  <si>
    <t xml:space="preserve">CONT ON CIRC 1706-B1Y-NA-2A</t>
  </si>
  <si>
    <t xml:space="preserve">247°</t>
  </si>
  <si>
    <t xml:space="preserve">TOTALS / DRAWING VERIFY</t>
  </si>
  <si>
    <t xml:space="preserve">DRAWING SAYS: 280 FT APPROX | SEGMENT SUM: 280 FT | DELTA: 0 FT unaccounted (fittings/elbows)</t>
  </si>
  <si>
    <t xml:space="preserve">INV-NEW-PIPE-DMS | Pipe as Coordinate System | LNFT=°  INCHES='  32nds="  64ths=sub  EGYP=vertical</t>
  </si>
  <si>
    <t xml:space="preserve">Dom's invention: map ANY pipe run onto a DMS coordinate system. The pipe IS the number line. Every foot is a degree. Every inch is a minute. Every 32nd is a second. Every 64th is a sub-second. Egyptian fractions encode vertical.</t>
  </si>
  <si>
    <t xml:space="preserve">DIMENSION</t>
  </si>
  <si>
    <t xml:space="preserve">PIPE UNIT</t>
  </si>
  <si>
    <t xml:space="preserve">DMS ANALOG</t>
  </si>
  <si>
    <t xml:space="preserve">COMPASS AXIS</t>
  </si>
  <si>
    <t xml:space="preserve">FORMULA</t>
  </si>
  <si>
    <t xml:space="preserve">EXAMPLE</t>
  </si>
  <si>
    <t xml:space="preserve">NOTES</t>
  </si>
  <si>
    <t xml:space="preserve">Primary unit</t>
  </si>
  <si>
    <t xml:space="preserve">1 LNFT</t>
  </si>
  <si>
    <t xml:space="preserve">1 DEGREE °</t>
  </si>
  <si>
    <t xml:space="preserve">N/S axis</t>
  </si>
  <si>
    <t xml:space="preserve">LNFT = INT(total_in/12)</t>
  </si>
  <si>
    <t xml:space="preserve">85 ft = 85°</t>
  </si>
  <si>
    <t xml:space="preserve">Whole feet → whole degrees</t>
  </si>
  <si>
    <t xml:space="preserve">Sub-unit 1</t>
  </si>
  <si>
    <t xml:space="preserve">1 INCH</t>
  </si>
  <si>
    <t xml:space="preserve">1 MINUTE '</t>
  </si>
  <si>
    <t xml:space="preserve">N/S fine</t>
  </si>
  <si>
    <t xml:space="preserve">IN = total_in MOD 12</t>
  </si>
  <si>
    <t xml:space="preserve">6 in = 6'</t>
  </si>
  <si>
    <t xml:space="preserve">Remaining inches after feet → minutes</t>
  </si>
  <si>
    <t xml:space="preserve">Sub-unit 2</t>
  </si>
  <si>
    <t xml:space="preserve">1/32 inch</t>
  </si>
  <si>
    <t xml:space="preserve">1 SECOND "</t>
  </si>
  <si>
    <t xml:space="preserve">32nds = (frac_in × 32)</t>
  </si>
  <si>
    <t xml:space="preserve">0.5in = 16/32 = 16"</t>
  </si>
  <si>
    <t xml:space="preserve">32nds map N/S compass subdivisions</t>
  </si>
  <si>
    <t xml:space="preserve">Sub-unit 3</t>
  </si>
  <si>
    <t xml:space="preserve">1/64 inch</t>
  </si>
  <si>
    <t xml:space="preserve">sub-second</t>
  </si>
  <si>
    <t xml:space="preserve">E/W axis</t>
  </si>
  <si>
    <t xml:space="preserve">64ths = (frac_in × 64)</t>
  </si>
  <si>
    <t xml:space="preserve">0.5in = 32/64</t>
  </si>
  <si>
    <t xml:space="preserve">64ths map E/W compass subdivisions</t>
  </si>
  <si>
    <t xml:space="preserve">Vertical encode</t>
  </si>
  <si>
    <t xml:space="preserve">UP/DN feet</t>
  </si>
  <si>
    <t xml:space="preserve">Egyptian frac</t>
  </si>
  <si>
    <t xml:space="preserve">Z axis</t>
  </si>
  <si>
    <t xml:space="preserve">UP: 1/2 1/3 1/4... DN: neg</t>
  </si>
  <si>
    <t xml:space="preserve">UP 12ft = 1/2 of 24</t>
  </si>
  <si>
    <t xml:space="preserve">Egyptian fractions encode elevation change</t>
  </si>
  <si>
    <t xml:space="preserve">Diagonal</t>
  </si>
  <si>
    <t xml:space="preserve">Diag section</t>
  </si>
  <si>
    <t xml:space="preserve">Hypotenuse</t>
  </si>
  <si>
    <t xml:space="preserve">NE/SE/SW/NW</t>
  </si>
  <si>
    <t xml:space="preserve">H = √(NS² + EW²)</t>
  </si>
  <si>
    <t xml:space="preserve">NE 18ft = √(12²+13²)</t>
  </si>
  <si>
    <t xml:space="preserve">Pythagorean — diagonal pipe = DMS hypotenuse</t>
  </si>
  <si>
    <t xml:space="preserve">Bearing encode</t>
  </si>
  <si>
    <t xml:space="preserve">Compass °</t>
  </si>
  <si>
    <t xml:space="preserve">DMS origin</t>
  </si>
  <si>
    <t xml:space="preserve">All axes</t>
  </si>
  <si>
    <t xml:space="preserve">Bearing = atan2(EW, NS)×180/π</t>
  </si>
  <si>
    <t xml:space="preserve">247° = SW pipe run</t>
  </si>
  <si>
    <t xml:space="preserve">Your compass survey CONFIRMS the DMS bearing</t>
  </si>
  <si>
    <t xml:space="preserve">Full string</t>
  </si>
  <si>
    <t xml:space="preserve">Pipe segment</t>
  </si>
  <si>
    <t xml:space="preserve">DMS coordinate</t>
  </si>
  <si>
    <t xml:space="preserve">Full 3D</t>
  </si>
  <si>
    <t xml:space="preserve">DD°MM'SS" DIR VERT</t>
  </si>
  <si>
    <t xml:space="preserve">85°0'0" W LEVEL</t>
  </si>
  <si>
    <t xml:space="preserve">One DMS string encodes one pipe segment completely</t>
  </si>
  <si>
    <t xml:space="preserve">Circuit total</t>
  </si>
  <si>
    <t xml:space="preserve">Total LNFT</t>
  </si>
  <si>
    <t xml:space="preserve">Total degrees</t>
  </si>
  <si>
    <t xml:space="preserve">Sum</t>
  </si>
  <si>
    <t xml:space="preserve">ΣD = ΣLNFT</t>
  </si>
  <si>
    <t xml:space="preserve">280° total circuit</t>
  </si>
  <si>
    <t xml:space="preserve">The entire circuit is a 280° arc in pipe-space</t>
  </si>
  <si>
    <t xml:space="preserve">Bubble marker</t>
  </si>
  <si>
    <t xml:space="preserve">Red CUI bubble</t>
  </si>
  <si>
    <t xml:space="preserve">Decimal point</t>
  </si>
  <si>
    <t xml:space="preserve">Interrupt</t>
  </si>
  <si>
    <t xml:space="preserve">Bubble = where DMS resets</t>
  </si>
  <si>
    <t xml:space="preserve">① = 0°0'0" origin</t>
  </si>
  <si>
    <t xml:space="preserve">Each CUI bubble is a coordinate origin reset</t>
  </si>
  <si>
    <t xml:space="preserve">Fitting adder</t>
  </si>
  <si>
    <t xml:space="preserve">Elbow/Tee</t>
  </si>
  <si>
    <t xml:space="preserve">Fractional °</t>
  </si>
  <si>
    <t xml:space="preserve">Offset</t>
  </si>
  <si>
    <t xml:space="preserve">Elbow = +1.5° Tee = +2°</t>
  </si>
  <si>
    <t xml:space="preserve">4 elbows = +6°</t>
  </si>
  <si>
    <t xml:space="preserve">Fittings add fractional degrees to the segment</t>
  </si>
  <si>
    <t xml:space="preserve">μT correlation</t>
  </si>
  <si>
    <t xml:space="preserve">Mag field</t>
  </si>
  <si>
    <t xml:space="preserve">Field strength</t>
  </si>
  <si>
    <t xml:space="preserve">Bias detect</t>
  </si>
  <si>
    <t xml:space="preserve">High μT = steel concentration</t>
  </si>
  <si>
    <t xml:space="preserve">102μT = pipe rack</t>
  </si>
  <si>
    <t xml:space="preserve">Your compass survey μT readings PROVE segment location</t>
  </si>
  <si>
    <t xml:space="preserve">INV-NEW-PIPE-DMS: Pipe Run as Coordinate System — maps industrial pipe geometry onto DMS angular notation. LNFT=°, IN=', 32nd=", 64th=sub", Egyptian fractions=Z-axis, compass bearing=origin. Every pipe segment becomes a unique 3D coordinate. Inventor: Dom Garza (Me10101) · Strategickhaos DAO LLC · EIN 39-2900295 · Field verified: E-1706-NA-1A LyondellBasell Corpus Christi · 2026-06-17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</si>
</sst>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E5FF"/>
      <name val="Arial"/>
      <family val="0"/>
      <charset val="1"/>
    </font>
    <font>
      <i val="true"/>
      <sz val="9"/>
      <color rgb="FFFFD700"/>
      <name val="Arial"/>
      <family val="0"/>
      <charset val="1"/>
    </font>
    <font>
      <i val="true"/>
      <sz val="9"/>
      <color rgb="FF00E5FF"/>
      <name val="Arial"/>
      <family val="0"/>
      <charset val="1"/>
    </font>
    <font>
      <b val="true"/>
      <sz val="10"/>
      <color rgb="FFFF444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E5FF"/>
      <name val="Arial"/>
      <family val="0"/>
      <charset val="1"/>
    </font>
    <font>
      <b val="true"/>
      <sz val="10"/>
      <color rgb="FFBB86FC"/>
      <name val="Arial"/>
      <family val="0"/>
      <charset val="1"/>
    </font>
    <font>
      <b val="true"/>
      <sz val="10"/>
      <color rgb="FFFF44FF"/>
      <name val="Arial"/>
      <family val="0"/>
      <charset val="1"/>
    </font>
    <font>
      <b val="true"/>
      <sz val="10"/>
      <color rgb="FF00FF88"/>
      <name val="Arial"/>
      <family val="0"/>
      <charset val="1"/>
    </font>
    <font>
      <b val="true"/>
      <sz val="10"/>
      <color rgb="FFFFD700"/>
      <name val="Arial"/>
      <family val="0"/>
      <charset val="1"/>
    </font>
    <font>
      <b val="true"/>
      <sz val="10"/>
      <color rgb="FFFF8C00"/>
      <name val="Arial"/>
      <family val="0"/>
      <charset val="1"/>
    </font>
    <font>
      <sz val="10"/>
      <color rgb="FFCCCCCC"/>
      <name val="Arial"/>
      <family val="0"/>
      <charset val="1"/>
    </font>
    <font>
      <sz val="10"/>
      <color rgb="FFBB86FC"/>
      <name val="Arial"/>
      <family val="0"/>
      <charset val="1"/>
    </font>
    <font>
      <sz val="10"/>
      <color rgb="FFFF44FF"/>
      <name val="Arial"/>
      <family val="0"/>
      <charset val="1"/>
    </font>
    <font>
      <sz val="10"/>
      <color rgb="FF00FF88"/>
      <name val="Arial"/>
      <family val="0"/>
      <charset val="1"/>
    </font>
    <font>
      <sz val="10"/>
      <color rgb="FFFFD700"/>
      <name val="Arial"/>
      <family val="0"/>
      <charset val="1"/>
    </font>
    <font>
      <sz val="10"/>
      <color rgb="FFFF8C00"/>
      <name val="Arial"/>
      <family val="0"/>
      <charset val="1"/>
    </font>
    <font>
      <sz val="10"/>
      <color rgb="FF00E5FF"/>
      <name val="Arial"/>
      <family val="0"/>
      <charset val="1"/>
    </font>
    <font>
      <sz val="10"/>
      <color rgb="FFFF4444"/>
      <name val="Arial"/>
      <family val="0"/>
      <charset val="1"/>
    </font>
    <font>
      <sz val="10"/>
      <color rgb="FF888888"/>
      <name val="Arial"/>
      <family val="0"/>
      <charset val="1"/>
    </font>
    <font>
      <b val="true"/>
      <sz val="11"/>
      <color rgb="FFFFD700"/>
      <name val="Arial"/>
      <family val="0"/>
      <charset val="1"/>
    </font>
    <font>
      <sz val="9"/>
      <color rgb="FF00E5F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16213E"/>
        <bgColor rgb="FF1A1A2E"/>
      </patternFill>
    </fill>
    <fill>
      <patternFill patternType="solid">
        <fgColor rgb="FF5C0000"/>
        <bgColor rgb="FF3D1A00"/>
      </patternFill>
    </fill>
    <fill>
      <patternFill patternType="solid">
        <fgColor rgb="FF0F3460"/>
        <bgColor rgb="FF003D40"/>
      </patternFill>
    </fill>
    <fill>
      <patternFill patternType="solid">
        <fgColor rgb="FF533483"/>
        <bgColor rgb="FF333355"/>
      </patternFill>
    </fill>
    <fill>
      <patternFill patternType="solid">
        <fgColor rgb="FF2D003D"/>
        <bgColor rgb="FF1A1A2E"/>
      </patternFill>
    </fill>
    <fill>
      <patternFill patternType="solid">
        <fgColor rgb="FF0A3622"/>
        <bgColor rgb="FF003D40"/>
      </patternFill>
    </fill>
    <fill>
      <patternFill patternType="solid">
        <fgColor rgb="FF3D1A00"/>
        <bgColor rgb="FF3D3000"/>
      </patternFill>
    </fill>
    <fill>
      <patternFill patternType="solid">
        <fgColor rgb="FF003D40"/>
        <bgColor rgb="FF0A3622"/>
      </patternFill>
    </fill>
    <fill>
      <patternFill patternType="solid">
        <fgColor rgb="FF3D3000"/>
        <bgColor rgb="FF3D1A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333355"/>
      </left>
      <right/>
      <top style="thin">
        <color rgb="FF333355"/>
      </top>
      <bottom style="thin">
        <color rgb="FF333355"/>
      </bottom>
      <diagonal/>
    </border>
    <border diagonalUp="false" diagonalDown="false">
      <left style="thin">
        <color rgb="FF333355"/>
      </left>
      <right style="thin">
        <color rgb="FF333355"/>
      </right>
      <top style="thin">
        <color rgb="FF333355"/>
      </top>
      <bottom style="thin">
        <color rgb="FF33335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44FF"/>
      <rgbColor rgb="FF00FF88"/>
      <rgbColor rgb="FF5C0000"/>
      <rgbColor rgb="FF003D40"/>
      <rgbColor rgb="FF2D003D"/>
      <rgbColor rgb="FF808000"/>
      <rgbColor rgb="FF800080"/>
      <rgbColor rgb="FF008080"/>
      <rgbColor rgb="FFCCCCCC"/>
      <rgbColor rgb="FF888888"/>
      <rgbColor rgb="FF9999FF"/>
      <rgbColor rgb="FF993366"/>
      <rgbColor rgb="FFFFFFCC"/>
      <rgbColor rgb="FFCCFFFF"/>
      <rgbColor rgb="FF1A1A2E"/>
      <rgbColor rgb="FFFF8080"/>
      <rgbColor rgb="FF0066CC"/>
      <rgbColor rgb="FFCCCCFF"/>
      <rgbColor rgb="FF16213E"/>
      <rgbColor rgb="FFFF00FF"/>
      <rgbColor rgb="FFFFFF00"/>
      <rgbColor rgb="FF00FFFF"/>
      <rgbColor rgb="FF800080"/>
      <rgbColor rgb="FF3D1A00"/>
      <rgbColor rgb="FF008080"/>
      <rgbColor rgb="FF0000FF"/>
      <rgbColor rgb="FF00E5FF"/>
      <rgbColor rgb="FFCCFFFF"/>
      <rgbColor rgb="FFCCFFCC"/>
      <rgbColor rgb="FFFFFF99"/>
      <rgbColor rgb="FF99CCFF"/>
      <rgbColor rgb="FFFF99CC"/>
      <rgbColor rgb="FFBB86FC"/>
      <rgbColor rgb="FFFFCC99"/>
      <rgbColor rgb="FF3366FF"/>
      <rgbColor rgb="FF33CCCC"/>
      <rgbColor rgb="FF99CC00"/>
      <rgbColor rgb="FFFFD700"/>
      <rgbColor rgb="FFFF8C00"/>
      <rgbColor rgb="FFFF4444"/>
      <rgbColor rgb="FF666699"/>
      <rgbColor rgb="FF969696"/>
      <rgbColor rgb="FF0F3460"/>
      <rgbColor rgb="FF339966"/>
      <rgbColor rgb="FF0A3622"/>
      <rgbColor rgb="FF3D3000"/>
      <rgbColor rgb="FF993300"/>
      <rgbColor rgb="FF993366"/>
      <rgbColor rgb="FF533483"/>
      <rgbColor rgb="FF3333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9" min="3" style="0" width="10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3" min="12" style="0" width="10"/>
    <col collapsed="false" customWidth="true" hidden="false" outlineLevel="0" max="14" min="14" style="0" width="24"/>
    <col collapsed="false" customWidth="true" hidden="false" outlineLevel="0" max="17" min="15" style="0" width="10"/>
    <col collapsed="false" customWidth="true" hidden="false" outlineLevel="0" max="18" min="18" style="0" width="12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8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customFormat="false" ht="36" hidden="false" customHeight="true" outlineLevel="0" collapsed="false">
      <c r="A4" s="4" t="s">
        <v>3</v>
      </c>
      <c r="B4" s="5" t="s">
        <v>4</v>
      </c>
      <c r="C4" s="6" t="s">
        <v>5</v>
      </c>
      <c r="D4" s="6" t="s">
        <v>6</v>
      </c>
      <c r="E4" s="6" t="s">
        <v>7</v>
      </c>
      <c r="F4" s="7" t="s">
        <v>8</v>
      </c>
      <c r="G4" s="7" t="s">
        <v>9</v>
      </c>
      <c r="H4" s="8" t="s">
        <v>10</v>
      </c>
      <c r="I4" s="8" t="s">
        <v>11</v>
      </c>
      <c r="J4" s="9" t="s">
        <v>12</v>
      </c>
      <c r="K4" s="9" t="s">
        <v>13</v>
      </c>
      <c r="L4" s="10" t="s">
        <v>14</v>
      </c>
      <c r="M4" s="4" t="s">
        <v>15</v>
      </c>
      <c r="N4" s="11" t="s">
        <v>16</v>
      </c>
      <c r="O4" s="12" t="s">
        <v>17</v>
      </c>
      <c r="P4" s="12" t="s">
        <v>18</v>
      </c>
      <c r="Q4" s="13" t="s">
        <v>19</v>
      </c>
      <c r="R4" s="5" t="s">
        <v>20</v>
      </c>
    </row>
    <row r="5" customFormat="false" ht="21.75" hidden="false" customHeight="true" outlineLevel="0" collapsed="false">
      <c r="A5" s="14" t="s">
        <v>21</v>
      </c>
      <c r="B5" s="15" t="s">
        <v>22</v>
      </c>
      <c r="C5" s="16" t="s">
        <v>23</v>
      </c>
      <c r="D5" s="17" t="n">
        <v>12</v>
      </c>
      <c r="E5" s="18" t="n">
        <v>6</v>
      </c>
      <c r="F5" s="18" t="n">
        <v>16</v>
      </c>
      <c r="G5" s="19" t="n">
        <v>32</v>
      </c>
      <c r="H5" s="20" t="s">
        <v>24</v>
      </c>
      <c r="I5" s="19" t="s">
        <v>25</v>
      </c>
      <c r="J5" s="21" t="str">
        <f aca="false">D5&amp;"° "&amp;E5&amp;"' "&amp;F5&amp;""</f>
        <v>12° 6' 16</v>
      </c>
      <c r="K5" s="21" t="n">
        <f aca="false">IFERROR(PI()*(1.5/12)*D5,0)</f>
        <v>4.71238898038469</v>
      </c>
      <c r="L5" s="22" t="n">
        <f aca="false">IFERROR(D5/6.6,0)</f>
        <v>1.81818181818182</v>
      </c>
      <c r="M5" s="14" t="s">
        <v>26</v>
      </c>
      <c r="N5" s="23" t="s">
        <v>27</v>
      </c>
      <c r="O5" s="24" t="s">
        <v>28</v>
      </c>
      <c r="P5" s="25" t="s">
        <v>29</v>
      </c>
      <c r="Q5" s="16" t="n">
        <v>0.711</v>
      </c>
      <c r="R5" s="16" t="s">
        <v>30</v>
      </c>
    </row>
    <row r="6" customFormat="false" ht="21.75" hidden="false" customHeight="true" outlineLevel="0" collapsed="false">
      <c r="A6" s="14" t="s">
        <v>31</v>
      </c>
      <c r="B6" s="26" t="s">
        <v>32</v>
      </c>
      <c r="C6" s="16" t="s">
        <v>33</v>
      </c>
      <c r="D6" s="17" t="n">
        <v>18</v>
      </c>
      <c r="E6" s="18" t="n">
        <v>3</v>
      </c>
      <c r="F6" s="18" t="n">
        <v>8</v>
      </c>
      <c r="G6" s="19" t="n">
        <v>16</v>
      </c>
      <c r="H6" s="20" t="s">
        <v>34</v>
      </c>
      <c r="I6" s="19" t="s">
        <v>35</v>
      </c>
      <c r="J6" s="21" t="str">
        <f aca="false">D6&amp;"° "&amp;E6&amp;"' "&amp;F6&amp;""</f>
        <v>18° 3' 8</v>
      </c>
      <c r="K6" s="21" t="n">
        <f aca="false">IFERROR(PI()*(1.5/12)*D6,0)</f>
        <v>7.06858347057703</v>
      </c>
      <c r="L6" s="22" t="n">
        <f aca="false">IFERROR(D6/6.6,0)</f>
        <v>2.72727272727273</v>
      </c>
      <c r="M6" s="14" t="s">
        <v>26</v>
      </c>
      <c r="N6" s="23" t="s">
        <v>27</v>
      </c>
      <c r="O6" s="24" t="s">
        <v>36</v>
      </c>
      <c r="P6" s="27" t="s">
        <v>37</v>
      </c>
      <c r="Q6" s="14" t="n">
        <v>0.239</v>
      </c>
      <c r="R6" s="14" t="s">
        <v>38</v>
      </c>
    </row>
    <row r="7" customFormat="false" ht="21.75" hidden="false" customHeight="true" outlineLevel="0" collapsed="false">
      <c r="A7" s="14" t="s">
        <v>39</v>
      </c>
      <c r="B7" s="26" t="s">
        <v>40</v>
      </c>
      <c r="C7" s="16" t="s">
        <v>41</v>
      </c>
      <c r="D7" s="17" t="n">
        <v>85</v>
      </c>
      <c r="E7" s="18" t="n">
        <v>0</v>
      </c>
      <c r="F7" s="18" t="n">
        <v>0</v>
      </c>
      <c r="G7" s="19" t="n">
        <v>0</v>
      </c>
      <c r="H7" s="20" t="s">
        <v>42</v>
      </c>
      <c r="I7" s="19" t="s">
        <v>35</v>
      </c>
      <c r="J7" s="21" t="str">
        <f aca="false">D7&amp;"° "&amp;E7&amp;"' "&amp;F7&amp;""</f>
        <v>85° 0' 0</v>
      </c>
      <c r="K7" s="21" t="n">
        <f aca="false">IFERROR(PI()*(1.5/12)*D7,0)</f>
        <v>33.3794219443916</v>
      </c>
      <c r="L7" s="22" t="n">
        <f aca="false">IFERROR(D7/6.6,0)</f>
        <v>12.8787878787879</v>
      </c>
      <c r="M7" s="14" t="s">
        <v>26</v>
      </c>
      <c r="N7" s="23" t="s">
        <v>27</v>
      </c>
      <c r="O7" s="24" t="s">
        <v>43</v>
      </c>
      <c r="P7" s="27" t="s">
        <v>44</v>
      </c>
      <c r="Q7" s="16" t="n">
        <v>0.75</v>
      </c>
      <c r="R7" s="16" t="s">
        <v>30</v>
      </c>
    </row>
    <row r="8" customFormat="false" ht="21.75" hidden="false" customHeight="true" outlineLevel="0" collapsed="false">
      <c r="A8" s="14" t="s">
        <v>45</v>
      </c>
      <c r="B8" s="15" t="s">
        <v>46</v>
      </c>
      <c r="C8" s="16" t="s">
        <v>47</v>
      </c>
      <c r="D8" s="17" t="n">
        <v>8</v>
      </c>
      <c r="E8" s="18" t="n">
        <v>9</v>
      </c>
      <c r="F8" s="18" t="n">
        <v>24</v>
      </c>
      <c r="G8" s="19" t="n">
        <v>48</v>
      </c>
      <c r="H8" s="20" t="s">
        <v>48</v>
      </c>
      <c r="I8" s="19" t="s">
        <v>49</v>
      </c>
      <c r="J8" s="21" t="str">
        <f aca="false">D8&amp;"° "&amp;E8&amp;"' "&amp;F8&amp;""</f>
        <v>8° 9' 24</v>
      </c>
      <c r="K8" s="21" t="n">
        <f aca="false">IFERROR(PI()*(1.5/12)*D8,0)</f>
        <v>3.14159265358979</v>
      </c>
      <c r="L8" s="22" t="n">
        <f aca="false">IFERROR(D8/6.6,0)</f>
        <v>1.21212121212121</v>
      </c>
      <c r="M8" s="14" t="s">
        <v>26</v>
      </c>
      <c r="N8" s="23" t="s">
        <v>27</v>
      </c>
      <c r="O8" s="24" t="s">
        <v>50</v>
      </c>
      <c r="P8" s="28" t="s">
        <v>51</v>
      </c>
      <c r="Q8" s="29" t="n">
        <v>0.917</v>
      </c>
      <c r="R8" s="29" t="s">
        <v>52</v>
      </c>
    </row>
    <row r="9" customFormat="false" ht="21.75" hidden="false" customHeight="true" outlineLevel="0" collapsed="false">
      <c r="A9" s="14" t="s">
        <v>53</v>
      </c>
      <c r="B9" s="15" t="s">
        <v>54</v>
      </c>
      <c r="C9" s="16" t="s">
        <v>55</v>
      </c>
      <c r="D9" s="17" t="n">
        <v>22</v>
      </c>
      <c r="E9" s="18" t="n">
        <v>4</v>
      </c>
      <c r="F9" s="18" t="n">
        <v>12</v>
      </c>
      <c r="G9" s="19" t="n">
        <v>24</v>
      </c>
      <c r="H9" s="20" t="s">
        <v>34</v>
      </c>
      <c r="I9" s="19" t="s">
        <v>56</v>
      </c>
      <c r="J9" s="21" t="str">
        <f aca="false">D9&amp;"° "&amp;E9&amp;"' "&amp;F9&amp;""</f>
        <v>22° 4' 12</v>
      </c>
      <c r="K9" s="21" t="n">
        <f aca="false">IFERROR(PI()*(1.5/12)*D9,0)</f>
        <v>8.63937979737193</v>
      </c>
      <c r="L9" s="22" t="n">
        <f aca="false">IFERROR(D9/6.6,0)</f>
        <v>3.33333333333333</v>
      </c>
      <c r="M9" s="14" t="s">
        <v>26</v>
      </c>
      <c r="N9" s="23" t="s">
        <v>27</v>
      </c>
      <c r="O9" s="24" t="s">
        <v>57</v>
      </c>
      <c r="P9" s="28" t="s">
        <v>58</v>
      </c>
      <c r="Q9" s="29" t="n">
        <v>0.95</v>
      </c>
      <c r="R9" s="29" t="s">
        <v>52</v>
      </c>
    </row>
    <row r="10" customFormat="false" ht="21.75" hidden="false" customHeight="true" outlineLevel="0" collapsed="false">
      <c r="A10" s="14" t="s">
        <v>59</v>
      </c>
      <c r="B10" s="15" t="s">
        <v>60</v>
      </c>
      <c r="C10" s="16" t="s">
        <v>61</v>
      </c>
      <c r="D10" s="17" t="n">
        <v>38</v>
      </c>
      <c r="E10" s="18" t="n">
        <v>7</v>
      </c>
      <c r="F10" s="18" t="n">
        <v>20</v>
      </c>
      <c r="G10" s="19" t="n">
        <v>40</v>
      </c>
      <c r="H10" s="20" t="s">
        <v>62</v>
      </c>
      <c r="I10" s="19" t="s">
        <v>63</v>
      </c>
      <c r="J10" s="21" t="str">
        <f aca="false">D10&amp;"° "&amp;E10&amp;"' "&amp;F10&amp;""</f>
        <v>38° 7' 20</v>
      </c>
      <c r="K10" s="21" t="n">
        <f aca="false">IFERROR(PI()*(1.5/12)*D10,0)</f>
        <v>14.9225651045515</v>
      </c>
      <c r="L10" s="22" t="n">
        <f aca="false">IFERROR(D10/6.6,0)</f>
        <v>5.75757575757576</v>
      </c>
      <c r="M10" s="14" t="s">
        <v>26</v>
      </c>
      <c r="N10" s="23" t="s">
        <v>27</v>
      </c>
      <c r="O10" s="24" t="s">
        <v>64</v>
      </c>
      <c r="P10" s="28" t="s">
        <v>65</v>
      </c>
      <c r="Q10" s="14" t="n">
        <v>0.172</v>
      </c>
      <c r="R10" s="14" t="s">
        <v>38</v>
      </c>
    </row>
    <row r="11" customFormat="false" ht="21.75" hidden="false" customHeight="true" outlineLevel="0" collapsed="false">
      <c r="A11" s="29" t="s">
        <v>66</v>
      </c>
      <c r="B11" s="15" t="s">
        <v>67</v>
      </c>
      <c r="C11" s="16" t="s">
        <v>68</v>
      </c>
      <c r="D11" s="17" t="n">
        <v>97</v>
      </c>
      <c r="E11" s="18" t="n">
        <v>2</v>
      </c>
      <c r="F11" s="18" t="n">
        <v>4</v>
      </c>
      <c r="G11" s="19" t="n">
        <v>8</v>
      </c>
      <c r="H11" s="20" t="s">
        <v>69</v>
      </c>
      <c r="I11" s="19" t="s">
        <v>70</v>
      </c>
      <c r="J11" s="21" t="str">
        <f aca="false">D11&amp;"° "&amp;E11&amp;"' "&amp;F11&amp;""</f>
        <v>97° 2' 4</v>
      </c>
      <c r="K11" s="21" t="n">
        <f aca="false">IFERROR(PI()*(1.5/12)*D11,0)</f>
        <v>38.0918109247762</v>
      </c>
      <c r="L11" s="22" t="n">
        <f aca="false">IFERROR(D11/6.6,0)</f>
        <v>14.6969696969697</v>
      </c>
      <c r="M11" s="29" t="s">
        <v>71</v>
      </c>
      <c r="N11" s="30" t="s">
        <v>72</v>
      </c>
      <c r="O11" s="24" t="s">
        <v>73</v>
      </c>
      <c r="P11" s="28" t="s">
        <v>51</v>
      </c>
      <c r="Q11" s="29" t="n">
        <v>1</v>
      </c>
      <c r="R11" s="29" t="s">
        <v>52</v>
      </c>
    </row>
    <row r="12" customFormat="false" ht="19.5" hidden="false" customHeight="true" outlineLevel="0" collapsed="false">
      <c r="A12" s="31" t="s">
        <v>74</v>
      </c>
      <c r="B12" s="31"/>
      <c r="C12" s="31"/>
      <c r="D12" s="22" t="n">
        <f aca="false">SUM(D5:D11)</f>
        <v>280</v>
      </c>
      <c r="K12" s="21" t="n">
        <f aca="false">SUM(K5:K11)</f>
        <v>109.955742875643</v>
      </c>
      <c r="L12" s="22" t="n">
        <f aca="false">SUM(L5:L11)</f>
        <v>42.4242424242424</v>
      </c>
      <c r="M12" s="32" t="s">
        <v>75</v>
      </c>
      <c r="N12" s="32"/>
      <c r="O12" s="32"/>
      <c r="P12" s="32"/>
      <c r="Q12" s="32"/>
      <c r="R12" s="32"/>
    </row>
  </sheetData>
  <mergeCells count="5">
    <mergeCell ref="A1:R1"/>
    <mergeCell ref="A2:R2"/>
    <mergeCell ref="A3:R3"/>
    <mergeCell ref="A12:C12"/>
    <mergeCell ref="M12:R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4"/>
    <col collapsed="false" customWidth="true" hidden="false" outlineLevel="0" max="4" min="4" style="0" width="12"/>
    <col collapsed="false" customWidth="true" hidden="false" outlineLevel="0" max="5" min="5" style="0" width="32"/>
    <col collapsed="false" customWidth="true" hidden="false" outlineLevel="0" max="6" min="6" style="0" width="20"/>
    <col collapsed="false" customWidth="true" hidden="false" outlineLevel="0" max="7" min="7" style="0" width="44"/>
  </cols>
  <sheetData>
    <row r="1" customFormat="false" ht="25.5" hidden="false" customHeight="true" outlineLevel="0" collapsed="false">
      <c r="A1" s="1" t="s">
        <v>76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 t="s">
        <v>77</v>
      </c>
      <c r="B2" s="2"/>
      <c r="C2" s="2"/>
      <c r="D2" s="2"/>
      <c r="E2" s="2"/>
      <c r="F2" s="2"/>
      <c r="G2" s="2"/>
    </row>
    <row r="3" customFormat="false" ht="27.75" hidden="false" customHeight="true" outlineLevel="0" collapsed="false">
      <c r="A3" s="5" t="s">
        <v>78</v>
      </c>
      <c r="B3" s="6" t="s">
        <v>79</v>
      </c>
      <c r="C3" s="6" t="s">
        <v>80</v>
      </c>
      <c r="D3" s="7" t="s">
        <v>81</v>
      </c>
      <c r="E3" s="9" t="s">
        <v>82</v>
      </c>
      <c r="F3" s="11" t="s">
        <v>83</v>
      </c>
      <c r="G3" s="5" t="s">
        <v>84</v>
      </c>
    </row>
    <row r="4" customFormat="false" ht="19.5" hidden="false" customHeight="true" outlineLevel="0" collapsed="false">
      <c r="A4" s="33" t="s">
        <v>85</v>
      </c>
      <c r="B4" s="17" t="s">
        <v>86</v>
      </c>
      <c r="C4" s="34" t="s">
        <v>87</v>
      </c>
      <c r="D4" s="19" t="s">
        <v>88</v>
      </c>
      <c r="E4" s="35" t="s">
        <v>89</v>
      </c>
      <c r="F4" s="36" t="s">
        <v>90</v>
      </c>
      <c r="G4" s="30" t="s">
        <v>91</v>
      </c>
    </row>
    <row r="5" customFormat="false" ht="19.5" hidden="false" customHeight="true" outlineLevel="0" collapsed="false">
      <c r="A5" s="33" t="s">
        <v>92</v>
      </c>
      <c r="B5" s="17" t="s">
        <v>93</v>
      </c>
      <c r="C5" s="34" t="s">
        <v>94</v>
      </c>
      <c r="D5" s="19" t="s">
        <v>95</v>
      </c>
      <c r="E5" s="35" t="s">
        <v>96</v>
      </c>
      <c r="F5" s="36" t="s">
        <v>97</v>
      </c>
      <c r="G5" s="30" t="s">
        <v>98</v>
      </c>
    </row>
    <row r="6" customFormat="false" ht="19.5" hidden="false" customHeight="true" outlineLevel="0" collapsed="false">
      <c r="A6" s="33" t="s">
        <v>99</v>
      </c>
      <c r="B6" s="17" t="s">
        <v>100</v>
      </c>
      <c r="C6" s="34" t="s">
        <v>101</v>
      </c>
      <c r="D6" s="19" t="s">
        <v>88</v>
      </c>
      <c r="E6" s="35" t="s">
        <v>102</v>
      </c>
      <c r="F6" s="36" t="s">
        <v>103</v>
      </c>
      <c r="G6" s="30" t="s">
        <v>104</v>
      </c>
    </row>
    <row r="7" customFormat="false" ht="19.5" hidden="false" customHeight="true" outlineLevel="0" collapsed="false">
      <c r="A7" s="33" t="s">
        <v>105</v>
      </c>
      <c r="B7" s="17" t="s">
        <v>106</v>
      </c>
      <c r="C7" s="34" t="s">
        <v>107</v>
      </c>
      <c r="D7" s="19" t="s">
        <v>108</v>
      </c>
      <c r="E7" s="35" t="s">
        <v>109</v>
      </c>
      <c r="F7" s="36" t="s">
        <v>110</v>
      </c>
      <c r="G7" s="30" t="s">
        <v>111</v>
      </c>
    </row>
    <row r="8" customFormat="false" ht="19.5" hidden="false" customHeight="true" outlineLevel="0" collapsed="false">
      <c r="A8" s="33" t="s">
        <v>112</v>
      </c>
      <c r="B8" s="17" t="s">
        <v>113</v>
      </c>
      <c r="C8" s="34" t="s">
        <v>114</v>
      </c>
      <c r="D8" s="19" t="s">
        <v>115</v>
      </c>
      <c r="E8" s="35" t="s">
        <v>116</v>
      </c>
      <c r="F8" s="36" t="s">
        <v>117</v>
      </c>
      <c r="G8" s="30" t="s">
        <v>118</v>
      </c>
    </row>
    <row r="9" customFormat="false" ht="19.5" hidden="false" customHeight="true" outlineLevel="0" collapsed="false">
      <c r="A9" s="33" t="s">
        <v>119</v>
      </c>
      <c r="B9" s="17" t="s">
        <v>120</v>
      </c>
      <c r="C9" s="34" t="s">
        <v>121</v>
      </c>
      <c r="D9" s="19" t="s">
        <v>122</v>
      </c>
      <c r="E9" s="35" t="s">
        <v>123</v>
      </c>
      <c r="F9" s="36" t="s">
        <v>124</v>
      </c>
      <c r="G9" s="30" t="s">
        <v>125</v>
      </c>
    </row>
    <row r="10" customFormat="false" ht="19.5" hidden="false" customHeight="true" outlineLevel="0" collapsed="false">
      <c r="A10" s="33" t="s">
        <v>126</v>
      </c>
      <c r="B10" s="17" t="s">
        <v>127</v>
      </c>
      <c r="C10" s="34" t="s">
        <v>128</v>
      </c>
      <c r="D10" s="19" t="s">
        <v>129</v>
      </c>
      <c r="E10" s="35" t="s">
        <v>130</v>
      </c>
      <c r="F10" s="36" t="s">
        <v>131</v>
      </c>
      <c r="G10" s="30" t="s">
        <v>132</v>
      </c>
    </row>
    <row r="11" customFormat="false" ht="19.5" hidden="false" customHeight="true" outlineLevel="0" collapsed="false">
      <c r="A11" s="33" t="s">
        <v>133</v>
      </c>
      <c r="B11" s="17" t="s">
        <v>134</v>
      </c>
      <c r="C11" s="34" t="s">
        <v>135</v>
      </c>
      <c r="D11" s="19" t="s">
        <v>136</v>
      </c>
      <c r="E11" s="35" t="s">
        <v>137</v>
      </c>
      <c r="F11" s="36" t="s">
        <v>138</v>
      </c>
      <c r="G11" s="30" t="s">
        <v>139</v>
      </c>
    </row>
    <row r="12" customFormat="false" ht="19.5" hidden="false" customHeight="true" outlineLevel="0" collapsed="false">
      <c r="A12" s="33" t="s">
        <v>140</v>
      </c>
      <c r="B12" s="17" t="s">
        <v>141</v>
      </c>
      <c r="C12" s="34" t="s">
        <v>142</v>
      </c>
      <c r="D12" s="19" t="s">
        <v>143</v>
      </c>
      <c r="E12" s="35" t="s">
        <v>144</v>
      </c>
      <c r="F12" s="36" t="s">
        <v>145</v>
      </c>
      <c r="G12" s="30" t="s">
        <v>146</v>
      </c>
    </row>
    <row r="13" customFormat="false" ht="19.5" hidden="false" customHeight="true" outlineLevel="0" collapsed="false">
      <c r="A13" s="33" t="s">
        <v>147</v>
      </c>
      <c r="B13" s="17" t="s">
        <v>148</v>
      </c>
      <c r="C13" s="34" t="s">
        <v>149</v>
      </c>
      <c r="D13" s="19" t="s">
        <v>150</v>
      </c>
      <c r="E13" s="35" t="s">
        <v>151</v>
      </c>
      <c r="F13" s="36" t="s">
        <v>152</v>
      </c>
      <c r="G13" s="30" t="s">
        <v>153</v>
      </c>
    </row>
    <row r="14" customFormat="false" ht="19.5" hidden="false" customHeight="true" outlineLevel="0" collapsed="false">
      <c r="A14" s="33" t="s">
        <v>154</v>
      </c>
      <c r="B14" s="17" t="s">
        <v>155</v>
      </c>
      <c r="C14" s="34" t="s">
        <v>156</v>
      </c>
      <c r="D14" s="19" t="s">
        <v>157</v>
      </c>
      <c r="E14" s="35" t="s">
        <v>158</v>
      </c>
      <c r="F14" s="36" t="s">
        <v>159</v>
      </c>
      <c r="G14" s="30" t="s">
        <v>160</v>
      </c>
    </row>
    <row r="15" customFormat="false" ht="19.5" hidden="false" customHeight="true" outlineLevel="0" collapsed="false">
      <c r="A15" s="33" t="s">
        <v>161</v>
      </c>
      <c r="B15" s="17" t="s">
        <v>162</v>
      </c>
      <c r="C15" s="34" t="s">
        <v>163</v>
      </c>
      <c r="D15" s="19" t="s">
        <v>164</v>
      </c>
      <c r="E15" s="35" t="s">
        <v>165</v>
      </c>
      <c r="F15" s="36" t="s">
        <v>166</v>
      </c>
      <c r="G15" s="30" t="s">
        <v>167</v>
      </c>
    </row>
    <row r="17" customFormat="false" ht="55.5" hidden="false" customHeight="true" outlineLevel="0" collapsed="false">
      <c r="A17" s="37" t="s">
        <v>168</v>
      </c>
      <c r="B17" s="37"/>
      <c r="C17" s="37"/>
      <c r="D17" s="37"/>
      <c r="E17" s="37"/>
      <c r="F17" s="37"/>
      <c r="G17" s="37"/>
    </row>
  </sheetData>
  <mergeCells count="3">
    <mergeCell ref="A1:G1"/>
    <mergeCell ref="A2:G2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2026-06-17T13:02:35Z</dcterms:created>
  <dc:creator>openpyxl</dc:creator>
  <dc:description/>
  <dc:language>en-US</dc:language>
  <cp:lastModifiedBy/>
  <dcterms:modified xsi:type="dcterms:W3CDTF">2026-06-17T13:02:35Z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