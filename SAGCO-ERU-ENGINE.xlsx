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U CIRCUIT ENGINE" sheetId="1" state="visible" r:id="rId3"/>
    <sheet name="ALGORITH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<sst xmlns="http://schemas.openxmlformats.org/spreadsheetml/2006/main" count="203" uniqueCount="149">
  <si>
    <t xml:space="preserve">SAGCO ERU ENGINE | PO# 4406147216 | ROPE ACCESS PACKAGE 1-5 | Target: Cut 784.1 hrs overrun</t>
  </si>
  <si>
    <t xml:space="preserve">ALGORITHM: ERU = E - U  |  CUT_NEEDED = ERU × BLEND_RATE($77)  |  HOURS_TO_CUT = TARGET_784.1 × (ERU/TOTAL_ERU)  |  NEW_U = U + HOURS_CUT  |  NEW_R = E - NEW_U</t>
  </si>
  <si>
    <t xml:space="preserve">CUI #</t>
  </si>
  <si>
    <t xml:space="preserve">PO #</t>
  </si>
  <si>
    <t xml:space="preserve">CIRCUIT</t>
  </si>
  <si>
    <t xml:space="preserve">E
ESTIMATED</t>
  </si>
  <si>
    <t xml:space="preserve">U
USED</t>
  </si>
  <si>
    <t xml:space="preserve">R
REMAINING</t>
  </si>
  <si>
    <t xml:space="preserve">ERU STATUS</t>
  </si>
  <si>
    <t xml:space="preserve">BLEND
RATE $</t>
  </si>
  <si>
    <t xml:space="preserve">$ AT RISK
(overrun×BR)</t>
  </si>
  <si>
    <t xml:space="preserve">% OF TOTAL
OVERRUN</t>
  </si>
  <si>
    <t xml:space="preserve">HOURS
TO CUT</t>
  </si>
  <si>
    <t xml:space="preserve">$ SAVED
IF CUT</t>
  </si>
  <si>
    <t xml:space="preserve">NEW U
AFTER CUT</t>
  </si>
  <si>
    <t xml:space="preserve">NEW R
AFTER CUT</t>
  </si>
  <si>
    <t xml:space="preserve">Q-POINT
(U/E)</t>
  </si>
  <si>
    <t xml:space="preserve">VERDICT</t>
  </si>
  <si>
    <t xml:space="preserve">4406147216</t>
  </si>
  <si>
    <t xml:space="preserve">F-1763-PR-1A</t>
  </si>
  <si>
    <t xml:space="preserve">🔴 CRITICAL OVER</t>
  </si>
  <si>
    <t xml:space="preserve">✂️ CUT NEEDED</t>
  </si>
  <si>
    <t xml:space="preserve">C-1602-O-1B</t>
  </si>
  <si>
    <t xml:space="preserve">🔴 OVER</t>
  </si>
  <si>
    <t xml:space="preserve">IS-HDRFE-1A</t>
  </si>
  <si>
    <t xml:space="preserve">⛔ MAJOR CUT</t>
  </si>
  <si>
    <t xml:space="preserve">E-1706-NA-1A</t>
  </si>
  <si>
    <t xml:space="preserve">PO-HDRFE-1B</t>
  </si>
  <si>
    <t xml:space="preserve">🟡 NEAR LIMIT</t>
  </si>
  <si>
    <t xml:space="preserve">—</t>
  </si>
  <si>
    <t xml:space="preserve">✅ ON TRACK</t>
  </si>
  <si>
    <t xml:space="preserve">HBF-HDRULT-1C</t>
  </si>
  <si>
    <t xml:space="preserve">🟢 LARGE REMAIN</t>
  </si>
  <si>
    <t xml:space="preserve">✅ BANK HOURS</t>
  </si>
  <si>
    <t xml:space="preserve">HBF-HDRULT-1D</t>
  </si>
  <si>
    <t xml:space="preserve">⚪ INACTIVE</t>
  </si>
  <si>
    <t xml:space="preserve">J-2011-FO-1B</t>
  </si>
  <si>
    <t xml:space="preserve">HBF-HDRULT-1B</t>
  </si>
  <si>
    <t xml:space="preserve">🟢 UNDER</t>
  </si>
  <si>
    <t xml:space="preserve">F-1728</t>
  </si>
  <si>
    <t xml:space="preserve">F-1723A</t>
  </si>
  <si>
    <t xml:space="preserve">F-1723B</t>
  </si>
  <si>
    <t xml:space="preserve">TOTALS</t>
  </si>
  <si>
    <t xml:space="preserve">TOTAL OVERRUN: 784.1 hrs</t>
  </si>
  <si>
    <t xml:space="preserve">ALGORITHM: Total Overrun = 784.1 hrs  |  Target Cut = 784.1 hrs  |  Blend Rate = $77.0/hr  |  Dollar Target = $60,375.70  |  Proportional cut per circuit = Circuit_Overrun / 784.1 × 784.1</t>
  </si>
  <si>
    <t xml:space="preserve">CUI#6 (HBF-HDRULT-1C) R=812.7 hrs + CUI#8 (J-2011-FO-1B) R=786.4 hrs = 1599.1 hrs banked  |  $ VALUE = $123,130.70  |  These two circuits OFFSET the overrun from CUI#3 IS-HDRFE-1A (-529.3) + others</t>
  </si>
  <si>
    <t xml:space="preserve">SAGCO ERU ALGORITHM | Variables · Constants · Formulas · Transistor Correlation</t>
  </si>
  <si>
    <t xml:space="preserve">From your notebook: Total R × Blend Rate = $ | ERU: E=138 U=216.9 R=-78.9 | Hours over × BR = dollar amount | CUI#6 + CUI#8 = $ saved</t>
  </si>
  <si>
    <t xml:space="preserve">VARIABLE</t>
  </si>
  <si>
    <t xml:space="preserve">SYMBOL</t>
  </si>
  <si>
    <t xml:space="preserve">VALUE (current)</t>
  </si>
  <si>
    <t xml:space="preserve">FORMULA</t>
  </si>
  <si>
    <t xml:space="preserve">TRANSISTOR MAP</t>
  </si>
  <si>
    <t xml:space="preserve">VERDICT ENGINE</t>
  </si>
  <si>
    <t xml:space="preserve">NOTES</t>
  </si>
  <si>
    <t xml:space="preserve">Estimated Hours</t>
  </si>
  <si>
    <t xml:space="preserve">E</t>
  </si>
  <si>
    <t xml:space="preserve">4979.0 total</t>
  </si>
  <si>
    <t xml:space="preserve">Given by PO scope</t>
  </si>
  <si>
    <t xml:space="preserve">Vcc — total supply</t>
  </si>
  <si>
    <t xml:space="preserve">EXPECTED</t>
  </si>
  <si>
    <t xml:space="preserve">What the contract says you have</t>
  </si>
  <si>
    <t xml:space="preserve">Used Hours</t>
  </si>
  <si>
    <t xml:space="preserve">U</t>
  </si>
  <si>
    <t xml:space="preserve">3583.3 total</t>
  </si>
  <si>
    <t xml:space="preserve">Timesheets accumulated</t>
  </si>
  <si>
    <t xml:space="preserve">Ic — actual flow</t>
  </si>
  <si>
    <t xml:space="preserve">ACTUAL</t>
  </si>
  <si>
    <t xml:space="preserve">What's been burned so far</t>
  </si>
  <si>
    <t xml:space="preserve">Remaining Hours</t>
  </si>
  <si>
    <t xml:space="preserve">R</t>
  </si>
  <si>
    <t xml:space="preserve">1395.7 total</t>
  </si>
  <si>
    <t xml:space="preserve">R = E − U</t>
  </si>
  <si>
    <t xml:space="preserve">Vce — usable margin</t>
  </si>
  <si>
    <t xml:space="preserve">VARIANCE</t>
  </si>
  <si>
    <t xml:space="preserve">Positive=banked, Negative=OVER</t>
  </si>
  <si>
    <t xml:space="preserve">Blend Rate</t>
  </si>
  <si>
    <t xml:space="preserve">BR</t>
  </si>
  <si>
    <t xml:space="preserve">$77/hr</t>
  </si>
  <si>
    <t xml:space="preserve">Given: billing rate to Brock</t>
  </si>
  <si>
    <t xml:space="preserve">β — gain multiplier</t>
  </si>
  <si>
    <t xml:space="preserve">BURN RATE</t>
  </si>
  <si>
    <t xml:space="preserve">Every hour × $77 = dollar impact</t>
  </si>
  <si>
    <t xml:space="preserve">Total Overrun</t>
  </si>
  <si>
    <t xml:space="preserve">OVR</t>
  </si>
  <si>
    <t xml:space="preserve">784.1 hrs</t>
  </si>
  <si>
    <t xml:space="preserve">Sum of all negative R circuits</t>
  </si>
  <si>
    <t xml:space="preserve">Rc — restriction</t>
  </si>
  <si>
    <t xml:space="preserve">CUI1+2+3+4 = 784.1 hrs over</t>
  </si>
  <si>
    <t xml:space="preserve">Dollar Overrun</t>
  </si>
  <si>
    <t xml:space="preserve">$OVR</t>
  </si>
  <si>
    <t xml:space="preserve">$60,375.70</t>
  </si>
  <si>
    <t xml:space="preserve">OVR × BR = 784.1 × $77</t>
  </si>
  <si>
    <t xml:space="preserve">Rc × β</t>
  </si>
  <si>
    <t xml:space="preserve">VARIANCE$</t>
  </si>
  <si>
    <t xml:space="preserve">784.1 × 77 = $60,375.70 at risk</t>
  </si>
  <si>
    <t xml:space="preserve">Hours to Cut / circuit</t>
  </si>
  <si>
    <t xml:space="preserve">HTC</t>
  </si>
  <si>
    <t xml:space="preserve">Proportional</t>
  </si>
  <si>
    <t xml:space="preserve">HTC = OVR × (Circuit_R / Total_R)</t>
  </si>
  <si>
    <t xml:space="preserve">Ib — base input needed</t>
  </si>
  <si>
    <t xml:space="preserve">CUT TARGET</t>
  </si>
  <si>
    <t xml:space="preserve">Each circuit gets proportional share</t>
  </si>
  <si>
    <t xml:space="preserve">Dollar Saved</t>
  </si>
  <si>
    <t xml:space="preserve">$SAV</t>
  </si>
  <si>
    <t xml:space="preserve">HTC × $77</t>
  </si>
  <si>
    <t xml:space="preserve">$SAV = HTC × BR</t>
  </si>
  <si>
    <t xml:space="preserve">Ic × β</t>
  </si>
  <si>
    <t xml:space="preserve">ACTUAL$</t>
  </si>
  <si>
    <t xml:space="preserve">If you cut the hours, this is recovered</t>
  </si>
  <si>
    <t xml:space="preserve">Q-Point</t>
  </si>
  <si>
    <t xml:space="preserve">Q</t>
  </si>
  <si>
    <t xml:space="preserve">U/E ratio</t>
  </si>
  <si>
    <t xml:space="preserve">Q = U / E</t>
  </si>
  <si>
    <t xml:space="preserve">Q-POINT</t>
  </si>
  <si>
    <t xml:space="preserve">Q&gt;1.0 = saturated/over, Q&lt;1.0 = ok</t>
  </si>
  <si>
    <t xml:space="preserve">New U after cut</t>
  </si>
  <si>
    <t xml:space="preserve">U'</t>
  </si>
  <si>
    <t xml:space="preserve">U − HTC</t>
  </si>
  <si>
    <t xml:space="preserve">U' = U − HTC</t>
  </si>
  <si>
    <t xml:space="preserve">New Ic</t>
  </si>
  <si>
    <t xml:space="preserve">NEW ACTUAL</t>
  </si>
  <si>
    <t xml:space="preserve">Projected used if hours are cut</t>
  </si>
  <si>
    <t xml:space="preserve">New R after cut</t>
  </si>
  <si>
    <t xml:space="preserve">R'</t>
  </si>
  <si>
    <t xml:space="preserve">E − U'</t>
  </si>
  <si>
    <t xml:space="preserve">R' = E − U'</t>
  </si>
  <si>
    <t xml:space="preserve">New Vce</t>
  </si>
  <si>
    <t xml:space="preserve">NEW MARGIN</t>
  </si>
  <si>
    <t xml:space="preserve">Should be ≥0 after cut</t>
  </si>
  <si>
    <t xml:space="preserve">CUI#6 banked</t>
  </si>
  <si>
    <t xml:space="preserve">B6</t>
  </si>
  <si>
    <t xml:space="preserve">812.7 hrs</t>
  </si>
  <si>
    <t xml:space="preserve">E−U for HBF-HDRULT-1C</t>
  </si>
  <si>
    <t xml:space="preserve">Positive Vce</t>
  </si>
  <si>
    <t xml:space="preserve">OFFSET</t>
  </si>
  <si>
    <t xml:space="preserve">$62,578.90 banked — absorbs overrun</t>
  </si>
  <si>
    <t xml:space="preserve">CUI#8 banked</t>
  </si>
  <si>
    <t xml:space="preserve">B8</t>
  </si>
  <si>
    <t xml:space="preserve">786.4 hrs</t>
  </si>
  <si>
    <t xml:space="preserve">E−U for J-2011-FO-1B</t>
  </si>
  <si>
    <t xml:space="preserve">$60,552.80 banked — absorbs overrun</t>
  </si>
  <si>
    <t xml:space="preserve">Combined bank</t>
  </si>
  <si>
    <t xml:space="preserve">B6+B8</t>
  </si>
  <si>
    <t xml:space="preserve">1599.1 hrs</t>
  </si>
  <si>
    <t xml:space="preserve">812.7 + 786.4</t>
  </si>
  <si>
    <t xml:space="preserve">Total positive Vce</t>
  </si>
  <si>
    <t xml:space="preserve">$123,130.70 — MORE than enough to cover $60,375 overrun</t>
  </si>
  <si>
    <t xml:space="preserve">▶  ANSWER: You don't need to cut 784.1 hrs from overrun circuits. CUI#6 (812.7) + CUI#8 (786.4) = 1,599.1 banked hrs = $123,130 already offset the $60,375 overrun. The VARIANCE is positive at the package level. The overrun narrative is a BLENDED VIEW problem.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</si>
</sst>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E5FF"/>
      <name val="Arial"/>
      <family val="0"/>
      <charset val="1"/>
    </font>
    <font>
      <i val="true"/>
      <sz val="9"/>
      <color rgb="FFFFD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E5FF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color rgb="FFBB86FC"/>
      <name val="Arial"/>
      <family val="0"/>
      <charset val="1"/>
    </font>
    <font>
      <b val="true"/>
      <sz val="10"/>
      <color rgb="FFFF4444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00E5FF"/>
      <name val="Arial"/>
      <family val="0"/>
      <charset val="1"/>
    </font>
    <font>
      <sz val="10"/>
      <color rgb="FFFF4444"/>
      <name val="Arial"/>
      <family val="0"/>
      <charset val="1"/>
    </font>
    <font>
      <sz val="10"/>
      <color rgb="FFBB86FC"/>
      <name val="Arial"/>
      <family val="0"/>
      <charset val="1"/>
    </font>
    <font>
      <sz val="10"/>
      <color rgb="FFFF8C00"/>
      <name val="Arial"/>
      <family val="0"/>
      <charset val="1"/>
    </font>
    <font>
      <sz val="10"/>
      <color rgb="FF00FF88"/>
      <name val="Arial"/>
      <family val="0"/>
      <charset val="1"/>
    </font>
    <font>
      <sz val="10"/>
      <color rgb="FFFFD700"/>
      <name val="Arial"/>
      <family val="0"/>
      <charset val="1"/>
    </font>
    <font>
      <sz val="10"/>
      <color rgb="FFCCCCCC"/>
      <name val="Arial"/>
      <family val="0"/>
      <charset val="1"/>
    </font>
    <font>
      <b val="true"/>
      <sz val="11"/>
      <color rgb="FFFFD700"/>
      <name val="Arial"/>
      <family val="0"/>
      <charset val="1"/>
    </font>
    <font>
      <i val="true"/>
      <sz val="9"/>
      <color rgb="FF00E5FF"/>
      <name val="Arial"/>
      <family val="0"/>
      <charset val="1"/>
    </font>
    <font>
      <b val="true"/>
      <sz val="9"/>
      <color rgb="FF00FF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533483"/>
        <bgColor rgb="FF333355"/>
      </patternFill>
    </fill>
    <fill>
      <patternFill patternType="solid">
        <fgColor rgb="FF5C0000"/>
        <bgColor rgb="FF800000"/>
      </patternFill>
    </fill>
    <fill>
      <patternFill patternType="solid">
        <fgColor rgb="FF3D1A00"/>
        <bgColor rgb="FF1A1A2E"/>
      </patternFill>
    </fill>
    <fill>
      <patternFill patternType="solid">
        <fgColor rgb="FF0A3622"/>
        <bgColor rgb="FF16213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/>
      <top style="thin">
        <color rgb="FF333355"/>
      </top>
      <bottom style="thin">
        <color rgb="FF333355"/>
      </bottom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5C0000"/>
      <rgbColor rgb="FF008000"/>
      <rgbColor rgb="FF16213E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1A1A2E"/>
      <rgbColor rgb="FFFF00FF"/>
      <rgbColor rgb="FFFFFF00"/>
      <rgbColor rgb="FF00FFFF"/>
      <rgbColor rgb="FF800080"/>
      <rgbColor rgb="FF800000"/>
      <rgbColor rgb="FF008080"/>
      <rgbColor rgb="FF0000FF"/>
      <rgbColor rgb="FF00E5FF"/>
      <rgbColor rgb="FFCCFFFF"/>
      <rgbColor rgb="FFCCFFCC"/>
      <rgbColor rgb="FFFFFF99"/>
      <rgbColor rgb="FF99CCFF"/>
      <rgbColor rgb="FFFF99CC"/>
      <rgbColor rgb="FFBB86FC"/>
      <rgbColor rgb="FFFFCC99"/>
      <rgbColor rgb="FF3366FF"/>
      <rgbColor rgb="FF33CCCC"/>
      <rgbColor rgb="FF99CC00"/>
      <rgbColor rgb="FFFFD700"/>
      <rgbColor rgb="FFFF8C00"/>
      <rgbColor rgb="FFFF4444"/>
      <rgbColor rgb="FF666699"/>
      <rgbColor rgb="FF969696"/>
      <rgbColor rgb="FF0F3460"/>
      <rgbColor rgb="FF339966"/>
      <rgbColor rgb="FF0A3622"/>
      <rgbColor rgb="FF3D1A00"/>
      <rgbColor rgb="FF993300"/>
      <rgbColor rgb="FF993366"/>
      <rgbColor rgb="FF533483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6" min="4" style="0" width="9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6" t="s">
        <v>9</v>
      </c>
      <c r="I3" s="7" t="s">
        <v>10</v>
      </c>
      <c r="J3" s="8" t="s">
        <v>11</v>
      </c>
      <c r="K3" s="9" t="s">
        <v>12</v>
      </c>
      <c r="L3" s="9" t="s">
        <v>13</v>
      </c>
      <c r="M3" s="6" t="s">
        <v>14</v>
      </c>
      <c r="N3" s="6" t="s">
        <v>15</v>
      </c>
      <c r="O3" s="5" t="s">
        <v>16</v>
      </c>
      <c r="P3" s="3" t="s">
        <v>17</v>
      </c>
    </row>
    <row r="4" customFormat="false" ht="19.5" hidden="false" customHeight="true" outlineLevel="0" collapsed="false">
      <c r="A4" s="10" t="n">
        <v>1</v>
      </c>
      <c r="B4" s="11" t="s">
        <v>18</v>
      </c>
      <c r="C4" s="12" t="s">
        <v>19</v>
      </c>
      <c r="D4" s="13" t="n">
        <v>290</v>
      </c>
      <c r="E4" s="10" t="n">
        <v>427.5</v>
      </c>
      <c r="F4" s="14" t="n">
        <v>-137.5</v>
      </c>
      <c r="G4" s="15" t="s">
        <v>20</v>
      </c>
      <c r="H4" s="16" t="n">
        <v>77</v>
      </c>
      <c r="I4" s="15" t="n">
        <f aca="false">ABS(F4)*H4</f>
        <v>10587.5</v>
      </c>
      <c r="J4" s="17" t="n">
        <f aca="false">IFERROR(ABS(F4)/784.1*100,0)</f>
        <v>17.5360285677847</v>
      </c>
      <c r="K4" s="18" t="n">
        <f aca="false">IFERROR(ABS(F4)/784.1*784.1,0)</f>
        <v>137.5</v>
      </c>
      <c r="L4" s="18" t="n">
        <f aca="false">K4*H4</f>
        <v>10587.5</v>
      </c>
      <c r="M4" s="16" t="n">
        <f aca="false">E4-K4</f>
        <v>290</v>
      </c>
      <c r="N4" s="16" t="n">
        <f aca="false">D4-M4</f>
        <v>0</v>
      </c>
      <c r="O4" s="19" t="n">
        <f aca="false">IFERROR(E4/D4,0)</f>
        <v>1.47413793103448</v>
      </c>
      <c r="P4" s="14" t="s">
        <v>21</v>
      </c>
    </row>
    <row r="5" customFormat="false" ht="19.5" hidden="false" customHeight="true" outlineLevel="0" collapsed="false">
      <c r="A5" s="10" t="n">
        <v>2</v>
      </c>
      <c r="B5" s="11" t="s">
        <v>18</v>
      </c>
      <c r="C5" s="12" t="s">
        <v>22</v>
      </c>
      <c r="D5" s="13" t="n">
        <v>1080</v>
      </c>
      <c r="E5" s="10" t="n">
        <v>1118.4</v>
      </c>
      <c r="F5" s="14" t="n">
        <v>-38.4</v>
      </c>
      <c r="G5" s="15" t="s">
        <v>23</v>
      </c>
      <c r="H5" s="16" t="n">
        <v>77</v>
      </c>
      <c r="I5" s="15" t="n">
        <f aca="false">ABS(F5)*H5</f>
        <v>2956.8</v>
      </c>
      <c r="J5" s="17" t="n">
        <f aca="false">IFERROR(ABS(F5)/784.1*100,0)</f>
        <v>4.8973345236577</v>
      </c>
      <c r="K5" s="18" t="n">
        <f aca="false">IFERROR(ABS(F5)/784.1*784.1,0)</f>
        <v>38.4</v>
      </c>
      <c r="L5" s="18" t="n">
        <f aca="false">K5*H5</f>
        <v>2956.8</v>
      </c>
      <c r="M5" s="16" t="n">
        <f aca="false">E5-K5</f>
        <v>1080</v>
      </c>
      <c r="N5" s="16" t="n">
        <f aca="false">D5-M5</f>
        <v>0</v>
      </c>
      <c r="O5" s="19" t="n">
        <f aca="false">IFERROR(E5/D5,0)</f>
        <v>1.03555555555556</v>
      </c>
      <c r="P5" s="14" t="s">
        <v>21</v>
      </c>
    </row>
    <row r="6" customFormat="false" ht="19.5" hidden="false" customHeight="true" outlineLevel="0" collapsed="false">
      <c r="A6" s="10" t="n">
        <v>3</v>
      </c>
      <c r="B6" s="11" t="s">
        <v>18</v>
      </c>
      <c r="C6" s="12" t="s">
        <v>24</v>
      </c>
      <c r="D6" s="13" t="n">
        <v>491</v>
      </c>
      <c r="E6" s="10" t="n">
        <v>1020.3</v>
      </c>
      <c r="F6" s="14" t="n">
        <v>-529.3</v>
      </c>
      <c r="G6" s="15" t="s">
        <v>20</v>
      </c>
      <c r="H6" s="16" t="n">
        <v>77</v>
      </c>
      <c r="I6" s="15" t="n">
        <f aca="false">ABS(F6)*H6</f>
        <v>40756.1</v>
      </c>
      <c r="J6" s="17" t="n">
        <f aca="false">IFERROR(ABS(F6)/784.1*100,0)</f>
        <v>67.5041448794797</v>
      </c>
      <c r="K6" s="18" t="n">
        <f aca="false">IFERROR(ABS(F6)/784.1*784.1,0)</f>
        <v>529.3</v>
      </c>
      <c r="L6" s="18" t="n">
        <f aca="false">K6*H6</f>
        <v>40756.1</v>
      </c>
      <c r="M6" s="16" t="n">
        <f aca="false">E6-K6</f>
        <v>491</v>
      </c>
      <c r="N6" s="16" t="n">
        <f aca="false">D6-M6</f>
        <v>0</v>
      </c>
      <c r="O6" s="19" t="n">
        <f aca="false">IFERROR(E6/D6,0)</f>
        <v>2.07800407331976</v>
      </c>
      <c r="P6" s="14" t="s">
        <v>25</v>
      </c>
    </row>
    <row r="7" customFormat="false" ht="19.5" hidden="false" customHeight="true" outlineLevel="0" collapsed="false">
      <c r="A7" s="10" t="n">
        <v>4</v>
      </c>
      <c r="B7" s="11" t="s">
        <v>18</v>
      </c>
      <c r="C7" s="12" t="s">
        <v>26</v>
      </c>
      <c r="D7" s="13" t="n">
        <v>138</v>
      </c>
      <c r="E7" s="10" t="n">
        <v>216.9</v>
      </c>
      <c r="F7" s="14" t="n">
        <v>-78.9</v>
      </c>
      <c r="G7" s="15" t="s">
        <v>23</v>
      </c>
      <c r="H7" s="16" t="n">
        <v>77</v>
      </c>
      <c r="I7" s="15" t="n">
        <f aca="false">ABS(F7)*H7</f>
        <v>6075.3</v>
      </c>
      <c r="J7" s="17" t="n">
        <f aca="false">IFERROR(ABS(F7)/784.1*100,0)</f>
        <v>10.0624920290779</v>
      </c>
      <c r="K7" s="18" t="n">
        <f aca="false">IFERROR(ABS(F7)/784.1*784.1,0)</f>
        <v>78.9</v>
      </c>
      <c r="L7" s="18" t="n">
        <f aca="false">K7*H7</f>
        <v>6075.3</v>
      </c>
      <c r="M7" s="16" t="n">
        <f aca="false">E7-K7</f>
        <v>138</v>
      </c>
      <c r="N7" s="16" t="n">
        <f aca="false">D7-M7</f>
        <v>0</v>
      </c>
      <c r="O7" s="19" t="n">
        <f aca="false">IFERROR(E7/D7,0)</f>
        <v>1.57173913043478</v>
      </c>
      <c r="P7" s="14" t="s">
        <v>21</v>
      </c>
    </row>
    <row r="8" customFormat="false" ht="19.5" hidden="false" customHeight="true" outlineLevel="0" collapsed="false">
      <c r="A8" s="10" t="n">
        <v>5</v>
      </c>
      <c r="B8" s="11" t="s">
        <v>18</v>
      </c>
      <c r="C8" s="20" t="s">
        <v>27</v>
      </c>
      <c r="D8" s="13" t="n">
        <v>204</v>
      </c>
      <c r="E8" s="21" t="n">
        <v>173.3</v>
      </c>
      <c r="F8" s="18" t="n">
        <v>30.7</v>
      </c>
      <c r="G8" s="19" t="s">
        <v>28</v>
      </c>
      <c r="H8" s="16" t="n">
        <v>77</v>
      </c>
      <c r="I8" s="11" t="s">
        <v>29</v>
      </c>
      <c r="J8" s="11" t="s">
        <v>29</v>
      </c>
      <c r="K8" s="11" t="n">
        <v>0</v>
      </c>
      <c r="L8" s="11" t="s">
        <v>29</v>
      </c>
      <c r="M8" s="11" t="n">
        <v>173.3</v>
      </c>
      <c r="N8" s="11" t="n">
        <v>30.7</v>
      </c>
      <c r="O8" s="19" t="n">
        <f aca="false">IFERROR(E8/D8,0)</f>
        <v>0.849509803921569</v>
      </c>
      <c r="P8" s="18" t="s">
        <v>30</v>
      </c>
    </row>
    <row r="9" customFormat="false" ht="19.5" hidden="false" customHeight="true" outlineLevel="0" collapsed="false">
      <c r="A9" s="10" t="n">
        <v>6</v>
      </c>
      <c r="B9" s="11" t="s">
        <v>18</v>
      </c>
      <c r="C9" s="22" t="s">
        <v>31</v>
      </c>
      <c r="D9" s="13" t="n">
        <v>1021</v>
      </c>
      <c r="E9" s="21" t="n">
        <v>208.3</v>
      </c>
      <c r="F9" s="18" t="n">
        <v>812.7</v>
      </c>
      <c r="G9" s="18" t="s">
        <v>32</v>
      </c>
      <c r="H9" s="16" t="n">
        <v>77</v>
      </c>
      <c r="I9" s="11" t="s">
        <v>29</v>
      </c>
      <c r="J9" s="11" t="s">
        <v>29</v>
      </c>
      <c r="K9" s="11" t="n">
        <v>0</v>
      </c>
      <c r="L9" s="11" t="s">
        <v>29</v>
      </c>
      <c r="M9" s="11" t="n">
        <v>208.3</v>
      </c>
      <c r="N9" s="11" t="n">
        <v>812.7</v>
      </c>
      <c r="O9" s="19" t="n">
        <f aca="false">IFERROR(E9/D9,0)</f>
        <v>0.204015670910872</v>
      </c>
      <c r="P9" s="18" t="s">
        <v>33</v>
      </c>
    </row>
    <row r="10" customFormat="false" ht="19.5" hidden="false" customHeight="true" outlineLevel="0" collapsed="false">
      <c r="A10" s="10" t="n">
        <v>7</v>
      </c>
      <c r="B10" s="11" t="s">
        <v>18</v>
      </c>
      <c r="C10" s="20" t="s">
        <v>34</v>
      </c>
      <c r="D10" s="13" t="n">
        <v>0</v>
      </c>
      <c r="E10" s="21" t="n">
        <v>0</v>
      </c>
      <c r="F10" s="11" t="n">
        <v>0</v>
      </c>
      <c r="G10" s="19" t="s">
        <v>35</v>
      </c>
      <c r="H10" s="16" t="n">
        <v>77</v>
      </c>
      <c r="I10" s="11" t="s">
        <v>29</v>
      </c>
      <c r="J10" s="11" t="s">
        <v>29</v>
      </c>
      <c r="K10" s="11" t="n">
        <v>0</v>
      </c>
      <c r="L10" s="11" t="s">
        <v>29</v>
      </c>
      <c r="M10" s="11" t="n">
        <v>0</v>
      </c>
      <c r="N10" s="11" t="n">
        <v>0</v>
      </c>
      <c r="O10" s="11" t="s">
        <v>29</v>
      </c>
      <c r="P10" s="11" t="s">
        <v>35</v>
      </c>
    </row>
    <row r="11" customFormat="false" ht="19.5" hidden="false" customHeight="true" outlineLevel="0" collapsed="false">
      <c r="A11" s="10" t="n">
        <v>8</v>
      </c>
      <c r="B11" s="11" t="s">
        <v>18</v>
      </c>
      <c r="C11" s="22" t="s">
        <v>36</v>
      </c>
      <c r="D11" s="13" t="n">
        <v>951</v>
      </c>
      <c r="E11" s="21" t="n">
        <v>164.6</v>
      </c>
      <c r="F11" s="18" t="n">
        <v>786.4</v>
      </c>
      <c r="G11" s="18" t="s">
        <v>32</v>
      </c>
      <c r="H11" s="16" t="n">
        <v>77</v>
      </c>
      <c r="I11" s="11" t="s">
        <v>29</v>
      </c>
      <c r="J11" s="11" t="s">
        <v>29</v>
      </c>
      <c r="K11" s="11" t="n">
        <v>0</v>
      </c>
      <c r="L11" s="11" t="s">
        <v>29</v>
      </c>
      <c r="M11" s="11" t="n">
        <v>164.6</v>
      </c>
      <c r="N11" s="11" t="n">
        <v>786.4</v>
      </c>
      <c r="O11" s="19" t="n">
        <f aca="false">IFERROR(E11/D11,0)</f>
        <v>0.173080967402734</v>
      </c>
      <c r="P11" s="18" t="s">
        <v>33</v>
      </c>
    </row>
    <row r="12" customFormat="false" ht="19.5" hidden="false" customHeight="true" outlineLevel="0" collapsed="false">
      <c r="A12" s="10" t="n">
        <v>9</v>
      </c>
      <c r="B12" s="11" t="s">
        <v>18</v>
      </c>
      <c r="C12" s="22" t="s">
        <v>37</v>
      </c>
      <c r="D12" s="13" t="n">
        <v>263</v>
      </c>
      <c r="E12" s="21" t="n">
        <v>100</v>
      </c>
      <c r="F12" s="18" t="n">
        <v>163</v>
      </c>
      <c r="G12" s="18" t="s">
        <v>38</v>
      </c>
      <c r="H12" s="16" t="n">
        <v>77</v>
      </c>
      <c r="I12" s="11" t="s">
        <v>29</v>
      </c>
      <c r="J12" s="11" t="s">
        <v>29</v>
      </c>
      <c r="K12" s="11" t="n">
        <v>0</v>
      </c>
      <c r="L12" s="11" t="s">
        <v>29</v>
      </c>
      <c r="M12" s="11" t="n">
        <v>100</v>
      </c>
      <c r="N12" s="11" t="n">
        <v>163</v>
      </c>
      <c r="O12" s="19" t="n">
        <f aca="false">IFERROR(E12/D12,0)</f>
        <v>0.380228136882129</v>
      </c>
      <c r="P12" s="18" t="s">
        <v>30</v>
      </c>
    </row>
    <row r="13" customFormat="false" ht="19.5" hidden="false" customHeight="true" outlineLevel="0" collapsed="false">
      <c r="A13" s="10" t="n">
        <v>10</v>
      </c>
      <c r="B13" s="11" t="s">
        <v>18</v>
      </c>
      <c r="C13" s="20" t="s">
        <v>39</v>
      </c>
      <c r="D13" s="13" t="n">
        <v>79</v>
      </c>
      <c r="E13" s="21" t="n">
        <v>40</v>
      </c>
      <c r="F13" s="18" t="n">
        <v>39</v>
      </c>
      <c r="G13" s="19" t="s">
        <v>28</v>
      </c>
      <c r="H13" s="16" t="n">
        <v>77</v>
      </c>
      <c r="I13" s="11" t="s">
        <v>29</v>
      </c>
      <c r="J13" s="11" t="s">
        <v>29</v>
      </c>
      <c r="K13" s="11" t="n">
        <v>0</v>
      </c>
      <c r="L13" s="11" t="s">
        <v>29</v>
      </c>
      <c r="M13" s="11" t="n">
        <v>40</v>
      </c>
      <c r="N13" s="11" t="n">
        <v>39</v>
      </c>
      <c r="O13" s="19" t="n">
        <f aca="false">IFERROR(E13/D13,0)</f>
        <v>0.506329113924051</v>
      </c>
      <c r="P13" s="18" t="s">
        <v>30</v>
      </c>
    </row>
    <row r="14" customFormat="false" ht="19.5" hidden="false" customHeight="true" outlineLevel="0" collapsed="false">
      <c r="A14" s="10" t="n">
        <v>11</v>
      </c>
      <c r="B14" s="11" t="s">
        <v>18</v>
      </c>
      <c r="C14" s="22" t="s">
        <v>40</v>
      </c>
      <c r="D14" s="13" t="n">
        <v>231</v>
      </c>
      <c r="E14" s="21" t="n">
        <v>60</v>
      </c>
      <c r="F14" s="18" t="n">
        <v>171</v>
      </c>
      <c r="G14" s="18" t="s">
        <v>38</v>
      </c>
      <c r="H14" s="16" t="n">
        <v>77</v>
      </c>
      <c r="I14" s="11" t="s">
        <v>29</v>
      </c>
      <c r="J14" s="11" t="s">
        <v>29</v>
      </c>
      <c r="K14" s="11" t="n">
        <v>0</v>
      </c>
      <c r="L14" s="11" t="s">
        <v>29</v>
      </c>
      <c r="M14" s="11" t="n">
        <v>60</v>
      </c>
      <c r="N14" s="11" t="n">
        <v>171</v>
      </c>
      <c r="O14" s="19" t="n">
        <f aca="false">IFERROR(E14/D14,0)</f>
        <v>0.25974025974026</v>
      </c>
      <c r="P14" s="18" t="s">
        <v>30</v>
      </c>
    </row>
    <row r="15" customFormat="false" ht="19.5" hidden="false" customHeight="true" outlineLevel="0" collapsed="false">
      <c r="A15" s="10" t="n">
        <v>12</v>
      </c>
      <c r="B15" s="11" t="s">
        <v>18</v>
      </c>
      <c r="C15" s="22" t="s">
        <v>41</v>
      </c>
      <c r="D15" s="13" t="n">
        <v>231</v>
      </c>
      <c r="E15" s="21" t="n">
        <v>54</v>
      </c>
      <c r="F15" s="18" t="n">
        <v>177</v>
      </c>
      <c r="G15" s="18" t="s">
        <v>38</v>
      </c>
      <c r="H15" s="16" t="n">
        <v>77</v>
      </c>
      <c r="I15" s="11" t="s">
        <v>29</v>
      </c>
      <c r="J15" s="11" t="s">
        <v>29</v>
      </c>
      <c r="K15" s="11" t="n">
        <v>0</v>
      </c>
      <c r="L15" s="11" t="s">
        <v>29</v>
      </c>
      <c r="M15" s="11" t="n">
        <v>54</v>
      </c>
      <c r="N15" s="11" t="n">
        <v>177</v>
      </c>
      <c r="O15" s="19" t="n">
        <f aca="false">IFERROR(E15/D15,0)</f>
        <v>0.233766233766234</v>
      </c>
      <c r="P15" s="18" t="s">
        <v>30</v>
      </c>
    </row>
    <row r="16" customFormat="false" ht="24" hidden="false" customHeight="true" outlineLevel="0" collapsed="false">
      <c r="A16" s="23" t="s">
        <v>42</v>
      </c>
      <c r="B16" s="23"/>
      <c r="C16" s="23"/>
      <c r="D16" s="10" t="n">
        <v>4979</v>
      </c>
      <c r="E16" s="10" t="n">
        <v>3583.3</v>
      </c>
      <c r="F16" s="10" t="n">
        <v>1395.7</v>
      </c>
      <c r="G16" s="24" t="s">
        <v>43</v>
      </c>
      <c r="H16" s="24"/>
      <c r="I16" s="15" t="n">
        <f aca="false">I4+I5+I6+I7</f>
        <v>60375.7</v>
      </c>
      <c r="K16" s="25" t="n">
        <v>784.1</v>
      </c>
      <c r="L16" s="18" t="n">
        <f aca="false">K16*77</f>
        <v>60375.7</v>
      </c>
    </row>
    <row r="18" customFormat="false" ht="15" hidden="false" customHeight="false" outlineLevel="0" collapsed="false">
      <c r="A18" s="26" t="s">
        <v>44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customFormat="false" ht="15" hidden="false" customHeight="false" outlineLevel="0" collapsed="false">
      <c r="A19" s="27" t="s">
        <v>45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</sheetData>
  <mergeCells count="6">
    <mergeCell ref="A1:P1"/>
    <mergeCell ref="A2:P2"/>
    <mergeCell ref="A16:C16"/>
    <mergeCell ref="G16:H16"/>
    <mergeCell ref="A18:P18"/>
    <mergeCell ref="A19:P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44"/>
  </cols>
  <sheetData>
    <row r="1" customFormat="false" ht="25.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8" t="s">
        <v>47</v>
      </c>
      <c r="B2" s="28"/>
      <c r="C2" s="28"/>
      <c r="D2" s="28"/>
      <c r="E2" s="28"/>
      <c r="F2" s="28"/>
      <c r="G2" s="28"/>
    </row>
    <row r="3" customFormat="false" ht="27.75" hidden="false" customHeight="true" outlineLevel="0" collapsed="false">
      <c r="A3" s="3" t="s">
        <v>48</v>
      </c>
      <c r="B3" s="4" t="s">
        <v>49</v>
      </c>
      <c r="C3" s="4" t="s">
        <v>50</v>
      </c>
      <c r="D3" s="9" t="s">
        <v>51</v>
      </c>
      <c r="E3" s="6" t="s">
        <v>52</v>
      </c>
      <c r="F3" s="8" t="s">
        <v>53</v>
      </c>
      <c r="G3" s="3" t="s">
        <v>54</v>
      </c>
    </row>
    <row r="4" customFormat="false" ht="19.5" hidden="false" customHeight="true" outlineLevel="0" collapsed="false">
      <c r="A4" s="20" t="s">
        <v>55</v>
      </c>
      <c r="B4" s="29" t="s">
        <v>56</v>
      </c>
      <c r="C4" s="19" t="s">
        <v>57</v>
      </c>
      <c r="D4" s="22" t="s">
        <v>58</v>
      </c>
      <c r="E4" s="30" t="s">
        <v>59</v>
      </c>
      <c r="F4" s="17" t="s">
        <v>60</v>
      </c>
      <c r="G4" s="31" t="s">
        <v>61</v>
      </c>
    </row>
    <row r="5" customFormat="false" ht="19.5" hidden="false" customHeight="true" outlineLevel="0" collapsed="false">
      <c r="A5" s="20" t="s">
        <v>62</v>
      </c>
      <c r="B5" s="29" t="s">
        <v>63</v>
      </c>
      <c r="C5" s="19" t="s">
        <v>64</v>
      </c>
      <c r="D5" s="22" t="s">
        <v>65</v>
      </c>
      <c r="E5" s="30" t="s">
        <v>66</v>
      </c>
      <c r="F5" s="17" t="s">
        <v>67</v>
      </c>
      <c r="G5" s="31" t="s">
        <v>68</v>
      </c>
    </row>
    <row r="6" customFormat="false" ht="19.5" hidden="false" customHeight="true" outlineLevel="0" collapsed="false">
      <c r="A6" s="20" t="s">
        <v>69</v>
      </c>
      <c r="B6" s="29" t="s">
        <v>70</v>
      </c>
      <c r="C6" s="19" t="s">
        <v>71</v>
      </c>
      <c r="D6" s="22" t="s">
        <v>72</v>
      </c>
      <c r="E6" s="30" t="s">
        <v>73</v>
      </c>
      <c r="F6" s="17" t="s">
        <v>74</v>
      </c>
      <c r="G6" s="31" t="s">
        <v>75</v>
      </c>
    </row>
    <row r="7" customFormat="false" ht="19.5" hidden="false" customHeight="true" outlineLevel="0" collapsed="false">
      <c r="A7" s="20" t="s">
        <v>76</v>
      </c>
      <c r="B7" s="29" t="s">
        <v>77</v>
      </c>
      <c r="C7" s="19" t="s">
        <v>78</v>
      </c>
      <c r="D7" s="22" t="s">
        <v>79</v>
      </c>
      <c r="E7" s="30" t="s">
        <v>80</v>
      </c>
      <c r="F7" s="17" t="s">
        <v>81</v>
      </c>
      <c r="G7" s="31" t="s">
        <v>82</v>
      </c>
    </row>
    <row r="8" customFormat="false" ht="19.5" hidden="false" customHeight="true" outlineLevel="0" collapsed="false">
      <c r="A8" s="20" t="s">
        <v>83</v>
      </c>
      <c r="B8" s="29" t="s">
        <v>84</v>
      </c>
      <c r="C8" s="19" t="s">
        <v>85</v>
      </c>
      <c r="D8" s="22" t="s">
        <v>86</v>
      </c>
      <c r="E8" s="30" t="s">
        <v>87</v>
      </c>
      <c r="F8" s="17" t="s">
        <v>74</v>
      </c>
      <c r="G8" s="31" t="s">
        <v>88</v>
      </c>
    </row>
    <row r="9" customFormat="false" ht="19.5" hidden="false" customHeight="true" outlineLevel="0" collapsed="false">
      <c r="A9" s="20" t="s">
        <v>89</v>
      </c>
      <c r="B9" s="29" t="s">
        <v>90</v>
      </c>
      <c r="C9" s="19" t="s">
        <v>91</v>
      </c>
      <c r="D9" s="22" t="s">
        <v>92</v>
      </c>
      <c r="E9" s="30" t="s">
        <v>93</v>
      </c>
      <c r="F9" s="17" t="s">
        <v>94</v>
      </c>
      <c r="G9" s="31" t="s">
        <v>95</v>
      </c>
    </row>
    <row r="10" customFormat="false" ht="19.5" hidden="false" customHeight="true" outlineLevel="0" collapsed="false">
      <c r="A10" s="20" t="s">
        <v>96</v>
      </c>
      <c r="B10" s="29" t="s">
        <v>97</v>
      </c>
      <c r="C10" s="19" t="s">
        <v>98</v>
      </c>
      <c r="D10" s="22" t="s">
        <v>99</v>
      </c>
      <c r="E10" s="30" t="s">
        <v>100</v>
      </c>
      <c r="F10" s="17" t="s">
        <v>101</v>
      </c>
      <c r="G10" s="31" t="s">
        <v>102</v>
      </c>
    </row>
    <row r="11" customFormat="false" ht="19.5" hidden="false" customHeight="true" outlineLevel="0" collapsed="false">
      <c r="A11" s="20" t="s">
        <v>103</v>
      </c>
      <c r="B11" s="29" t="s">
        <v>104</v>
      </c>
      <c r="C11" s="19" t="s">
        <v>105</v>
      </c>
      <c r="D11" s="22" t="s">
        <v>106</v>
      </c>
      <c r="E11" s="30" t="s">
        <v>107</v>
      </c>
      <c r="F11" s="17" t="s">
        <v>108</v>
      </c>
      <c r="G11" s="31" t="s">
        <v>109</v>
      </c>
    </row>
    <row r="12" customFormat="false" ht="19.5" hidden="false" customHeight="true" outlineLevel="0" collapsed="false">
      <c r="A12" s="20" t="s">
        <v>110</v>
      </c>
      <c r="B12" s="29" t="s">
        <v>111</v>
      </c>
      <c r="C12" s="19" t="s">
        <v>112</v>
      </c>
      <c r="D12" s="22" t="s">
        <v>113</v>
      </c>
      <c r="E12" s="30" t="s">
        <v>110</v>
      </c>
      <c r="F12" s="17" t="s">
        <v>114</v>
      </c>
      <c r="G12" s="31" t="s">
        <v>115</v>
      </c>
    </row>
    <row r="13" customFormat="false" ht="19.5" hidden="false" customHeight="true" outlineLevel="0" collapsed="false">
      <c r="A13" s="20" t="s">
        <v>116</v>
      </c>
      <c r="B13" s="29" t="s">
        <v>117</v>
      </c>
      <c r="C13" s="19" t="s">
        <v>118</v>
      </c>
      <c r="D13" s="22" t="s">
        <v>119</v>
      </c>
      <c r="E13" s="30" t="s">
        <v>120</v>
      </c>
      <c r="F13" s="17" t="s">
        <v>121</v>
      </c>
      <c r="G13" s="31" t="s">
        <v>122</v>
      </c>
    </row>
    <row r="14" customFormat="false" ht="19.5" hidden="false" customHeight="true" outlineLevel="0" collapsed="false">
      <c r="A14" s="20" t="s">
        <v>123</v>
      </c>
      <c r="B14" s="29" t="s">
        <v>124</v>
      </c>
      <c r="C14" s="19" t="s">
        <v>125</v>
      </c>
      <c r="D14" s="22" t="s">
        <v>126</v>
      </c>
      <c r="E14" s="30" t="s">
        <v>127</v>
      </c>
      <c r="F14" s="17" t="s">
        <v>128</v>
      </c>
      <c r="G14" s="31" t="s">
        <v>129</v>
      </c>
    </row>
    <row r="15" customFormat="false" ht="19.5" hidden="false" customHeight="true" outlineLevel="0" collapsed="false">
      <c r="A15" s="20" t="s">
        <v>130</v>
      </c>
      <c r="B15" s="29" t="s">
        <v>131</v>
      </c>
      <c r="C15" s="19" t="s">
        <v>132</v>
      </c>
      <c r="D15" s="22" t="s">
        <v>133</v>
      </c>
      <c r="E15" s="30" t="s">
        <v>134</v>
      </c>
      <c r="F15" s="17" t="s">
        <v>135</v>
      </c>
      <c r="G15" s="31" t="s">
        <v>136</v>
      </c>
    </row>
    <row r="16" customFormat="false" ht="19.5" hidden="false" customHeight="true" outlineLevel="0" collapsed="false">
      <c r="A16" s="20" t="s">
        <v>137</v>
      </c>
      <c r="B16" s="29" t="s">
        <v>138</v>
      </c>
      <c r="C16" s="19" t="s">
        <v>139</v>
      </c>
      <c r="D16" s="22" t="s">
        <v>140</v>
      </c>
      <c r="E16" s="30" t="s">
        <v>134</v>
      </c>
      <c r="F16" s="17" t="s">
        <v>135</v>
      </c>
      <c r="G16" s="31" t="s">
        <v>141</v>
      </c>
    </row>
    <row r="17" customFormat="false" ht="19.5" hidden="false" customHeight="true" outlineLevel="0" collapsed="false">
      <c r="A17" s="20" t="s">
        <v>142</v>
      </c>
      <c r="B17" s="29" t="s">
        <v>143</v>
      </c>
      <c r="C17" s="19" t="s">
        <v>144</v>
      </c>
      <c r="D17" s="22" t="s">
        <v>145</v>
      </c>
      <c r="E17" s="30" t="s">
        <v>146</v>
      </c>
      <c r="F17" s="17" t="s">
        <v>17</v>
      </c>
      <c r="G17" s="31" t="s">
        <v>147</v>
      </c>
    </row>
    <row r="19" customFormat="false" ht="48" hidden="false" customHeight="true" outlineLevel="0" collapsed="false">
      <c r="A19" s="32" t="s">
        <v>148</v>
      </c>
      <c r="B19" s="32"/>
      <c r="C19" s="32"/>
      <c r="D19" s="32"/>
      <c r="E19" s="32"/>
      <c r="F19" s="32"/>
      <c r="G19" s="32"/>
    </row>
  </sheetData>
  <mergeCells count="3">
    <mergeCell ref="A1:G1"/>
    <mergeCell ref="A2:G2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2026-06-17T11:43:00Z</dcterms:created>
  <dc:creator>openpyxl</dc:creator>
  <dc:description/>
  <dc:language>en-US</dc:language>
  <cp:lastModifiedBy/>
  <dcterms:modified xsi:type="dcterms:W3CDTF">2026-06-17T11:43:00Z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